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always" hidePivotFieldList="1" defaultThemeVersion="202300"/>
  <mc:AlternateContent xmlns:mc="http://schemas.openxmlformats.org/markup-compatibility/2006">
    <mc:Choice Requires="x15">
      <x15ac:absPath xmlns:x15ac="http://schemas.microsoft.com/office/spreadsheetml/2010/11/ac" url="https://d.docs.live.net/7f8969b5e0484cf8/Documents/"/>
    </mc:Choice>
  </mc:AlternateContent>
  <xr:revisionPtr revIDLastSave="3040" documentId="8_{1BF2224C-E1C3-492A-B86D-98A1BD85706C}" xr6:coauthVersionLast="47" xr6:coauthVersionMax="47" xr10:uidLastSave="{3E4E2A79-615E-4453-9EDC-9A8822E24ABD}"/>
  <bookViews>
    <workbookView xWindow="-110" yWindow="-110" windowWidth="19420" windowHeight="10300" activeTab="2" xr2:uid="{227BD97F-F4F2-4395-985E-68C3239D838A}"/>
  </bookViews>
  <sheets>
    <sheet name="Dashboard" sheetId="1" r:id="rId1"/>
    <sheet name="Dataset" sheetId="3" r:id="rId2"/>
    <sheet name="Sheet1" sheetId="4" r:id="rId3"/>
    <sheet name="Sheet2" sheetId="2" r:id="rId4"/>
  </sheets>
  <externalReferences>
    <externalReference r:id="rId5"/>
  </externalReferences>
  <definedNames>
    <definedName name="_xlchart.v5.0" hidden="1">Sheet1!$F$28:$G$28</definedName>
    <definedName name="_xlchart.v5.1" hidden="1">Sheet1!$F$29:$G$66</definedName>
    <definedName name="_xlchart.v5.10" hidden="1">Sheet1!$H$28</definedName>
    <definedName name="_xlchart.v5.11" hidden="1">Sheet1!$H$29:$H$66</definedName>
    <definedName name="_xlchart.v5.12" hidden="1">Sheet1!$K$28:$L$28</definedName>
    <definedName name="_xlchart.v5.13" hidden="1">Sheet1!$K$29:$L$86</definedName>
    <definedName name="_xlchart.v5.14" hidden="1">Sheet1!$M$67:$M$86</definedName>
    <definedName name="_xlchart.v5.15" hidden="1">[1]Sheet4!#REF!</definedName>
    <definedName name="_xlchart.v5.16" hidden="1">Sheet1!$F$28:$G$28</definedName>
    <definedName name="_xlchart.v5.17" hidden="1">Sheet1!$F$29:$G$86</definedName>
    <definedName name="_xlchart.v5.18" hidden="1">Sheet1!$H$28</definedName>
    <definedName name="_xlchart.v5.19" hidden="1">Sheet1!$H$29:$H$86</definedName>
    <definedName name="_xlchart.v5.2" hidden="1">Sheet1!$H$28</definedName>
    <definedName name="_xlchart.v5.20" hidden="1">Sheet1!$K$28:$L$28</definedName>
    <definedName name="_xlchart.v5.21" hidden="1">Sheet1!$K$29:$L$54</definedName>
    <definedName name="_xlchart.v5.22" hidden="1">Sheet1!$M$28</definedName>
    <definedName name="_xlchart.v5.23" hidden="1">Sheet1!$M$29:$M$54</definedName>
    <definedName name="_xlchart.v5.24" hidden="1">Sheet1!$K$28:$L$28</definedName>
    <definedName name="_xlchart.v5.25" hidden="1">Sheet1!$K$29:$L$54</definedName>
    <definedName name="_xlchart.v5.26" hidden="1">Sheet1!$M$27</definedName>
    <definedName name="_xlchart.v5.27" hidden="1">Sheet1!$M$28</definedName>
    <definedName name="_xlchart.v5.28" hidden="1">Sheet1!$M$29:$M$54</definedName>
    <definedName name="_xlchart.v5.29" hidden="1">Sheet1!$F$28:$G$28</definedName>
    <definedName name="_xlchart.v5.3" hidden="1">Sheet1!$H$29:$H$66</definedName>
    <definedName name="_xlchart.v5.30" hidden="1">Sheet1!$F$29:$G$66</definedName>
    <definedName name="_xlchart.v5.31" hidden="1">Sheet1!$H$27</definedName>
    <definedName name="_xlchart.v5.32" hidden="1">Sheet1!$H$28</definedName>
    <definedName name="_xlchart.v5.33" hidden="1">Sheet1!$H$29:$H$66</definedName>
    <definedName name="_xlchart.v5.4" hidden="1">Sheet1!$K$28:$L$28</definedName>
    <definedName name="_xlchart.v5.5" hidden="1">Sheet1!$K$29:$L$54</definedName>
    <definedName name="_xlchart.v5.6" hidden="1">Sheet1!$M$28</definedName>
    <definedName name="_xlchart.v5.7" hidden="1">Sheet1!$M$29:$M$54</definedName>
    <definedName name="_xlchart.v5.8" hidden="1">Sheet1!$F$28:$G$28</definedName>
    <definedName name="_xlchart.v5.9" hidden="1">Sheet1!$F$29:$G$66</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3" i="4" l="1"/>
  <c r="K44" i="4"/>
  <c r="K45" i="4"/>
  <c r="K46" i="4"/>
  <c r="K47" i="4"/>
  <c r="K48" i="4"/>
  <c r="K49" i="4"/>
  <c r="K50" i="4"/>
  <c r="K51" i="4"/>
  <c r="K52" i="4"/>
  <c r="K53" i="4"/>
  <c r="K54" i="4"/>
  <c r="K30" i="4"/>
  <c r="K31" i="4"/>
  <c r="K32" i="4"/>
  <c r="K33" i="4"/>
  <c r="K34" i="4"/>
  <c r="K35" i="4"/>
  <c r="K36" i="4"/>
  <c r="K37" i="4"/>
  <c r="K38" i="4"/>
  <c r="K39" i="4"/>
  <c r="K40" i="4"/>
  <c r="K41" i="4"/>
  <c r="K42" i="4"/>
  <c r="L30" i="4"/>
  <c r="L31" i="4"/>
  <c r="L32" i="4"/>
  <c r="L33" i="4"/>
  <c r="L34" i="4"/>
  <c r="L35" i="4"/>
  <c r="L36" i="4"/>
  <c r="L37" i="4"/>
  <c r="L38" i="4"/>
  <c r="L39" i="4"/>
  <c r="L40" i="4"/>
  <c r="L41" i="4"/>
  <c r="L42" i="4"/>
  <c r="L43" i="4"/>
  <c r="L44" i="4"/>
  <c r="L45" i="4"/>
  <c r="L46" i="4"/>
  <c r="L47" i="4"/>
  <c r="L48" i="4"/>
  <c r="L49" i="4"/>
  <c r="L50" i="4"/>
  <c r="L51" i="4"/>
  <c r="L52" i="4"/>
  <c r="L53" i="4"/>
  <c r="L54" i="4"/>
  <c r="M30" i="4"/>
  <c r="M31" i="4"/>
  <c r="M32" i="4"/>
  <c r="M33" i="4"/>
  <c r="M34" i="4"/>
  <c r="M35" i="4"/>
  <c r="M36" i="4"/>
  <c r="M37" i="4"/>
  <c r="M38" i="4"/>
  <c r="M39" i="4"/>
  <c r="M40" i="4"/>
  <c r="M41" i="4"/>
  <c r="M42" i="4"/>
  <c r="M43" i="4"/>
  <c r="M44" i="4"/>
  <c r="M45" i="4"/>
  <c r="M46" i="4"/>
  <c r="M47" i="4"/>
  <c r="M48" i="4"/>
  <c r="M49" i="4"/>
  <c r="M50" i="4"/>
  <c r="M51" i="4"/>
  <c r="M52" i="4"/>
  <c r="M53" i="4"/>
  <c r="M54" i="4"/>
  <c r="M29" i="4"/>
  <c r="M28" i="4"/>
  <c r="L29" i="4"/>
  <c r="K29" i="4"/>
  <c r="F30" i="4"/>
  <c r="G30" i="4"/>
  <c r="H30" i="4"/>
  <c r="F31" i="4"/>
  <c r="G31" i="4"/>
  <c r="H31" i="4"/>
  <c r="F32" i="4"/>
  <c r="G32" i="4"/>
  <c r="H32" i="4"/>
  <c r="F33" i="4"/>
  <c r="G33" i="4"/>
  <c r="H33" i="4"/>
  <c r="F34" i="4"/>
  <c r="G34" i="4"/>
  <c r="H34" i="4"/>
  <c r="F35" i="4"/>
  <c r="G35" i="4"/>
  <c r="H35" i="4"/>
  <c r="F36" i="4"/>
  <c r="G36" i="4"/>
  <c r="H36" i="4"/>
  <c r="F37" i="4"/>
  <c r="G37" i="4"/>
  <c r="H37" i="4"/>
  <c r="F38" i="4"/>
  <c r="G38" i="4"/>
  <c r="H38" i="4"/>
  <c r="F39" i="4"/>
  <c r="G39" i="4"/>
  <c r="H39" i="4"/>
  <c r="F40" i="4"/>
  <c r="G40" i="4"/>
  <c r="H40" i="4"/>
  <c r="F41" i="4"/>
  <c r="G41" i="4"/>
  <c r="H41" i="4"/>
  <c r="F42" i="4"/>
  <c r="G42" i="4"/>
  <c r="H42" i="4"/>
  <c r="F43" i="4"/>
  <c r="G43" i="4"/>
  <c r="H43" i="4"/>
  <c r="F44" i="4"/>
  <c r="G44" i="4"/>
  <c r="H44" i="4"/>
  <c r="F45" i="4"/>
  <c r="G45" i="4"/>
  <c r="H45" i="4"/>
  <c r="F46" i="4"/>
  <c r="G46" i="4"/>
  <c r="H46" i="4"/>
  <c r="F47" i="4"/>
  <c r="G47" i="4"/>
  <c r="H47" i="4"/>
  <c r="F48" i="4"/>
  <c r="G48" i="4"/>
  <c r="H48" i="4"/>
  <c r="F49" i="4"/>
  <c r="G49" i="4"/>
  <c r="H49" i="4"/>
  <c r="F50" i="4"/>
  <c r="G50" i="4"/>
  <c r="H50" i="4"/>
  <c r="F51" i="4"/>
  <c r="G51" i="4"/>
  <c r="H51" i="4"/>
  <c r="F52" i="4"/>
  <c r="G52" i="4"/>
  <c r="H52" i="4"/>
  <c r="F53" i="4"/>
  <c r="G53" i="4"/>
  <c r="H53" i="4"/>
  <c r="F54" i="4"/>
  <c r="G54" i="4"/>
  <c r="H54" i="4"/>
  <c r="F55" i="4"/>
  <c r="G55" i="4"/>
  <c r="H55" i="4"/>
  <c r="F56" i="4"/>
  <c r="G56" i="4"/>
  <c r="H56" i="4"/>
  <c r="F57" i="4"/>
  <c r="G57" i="4"/>
  <c r="H57" i="4"/>
  <c r="F58" i="4"/>
  <c r="G58" i="4"/>
  <c r="H58" i="4"/>
  <c r="F59" i="4"/>
  <c r="G59" i="4"/>
  <c r="H59" i="4"/>
  <c r="F60" i="4"/>
  <c r="G60" i="4"/>
  <c r="H60" i="4"/>
  <c r="F61" i="4"/>
  <c r="G61" i="4"/>
  <c r="H61" i="4"/>
  <c r="F62" i="4"/>
  <c r="G62" i="4"/>
  <c r="H62" i="4"/>
  <c r="F63" i="4"/>
  <c r="G63" i="4"/>
  <c r="H63" i="4"/>
  <c r="F64" i="4"/>
  <c r="G64" i="4"/>
  <c r="H64" i="4"/>
  <c r="F65" i="4"/>
  <c r="G65" i="4"/>
  <c r="H65" i="4"/>
  <c r="F66" i="4"/>
  <c r="G66" i="4"/>
  <c r="H66" i="4"/>
  <c r="G29" i="4"/>
  <c r="H29" i="4"/>
  <c r="F29" i="4"/>
  <c r="L28" i="4"/>
  <c r="K28" i="4"/>
  <c r="G28" i="4"/>
  <c r="H28" i="4"/>
  <c r="F28" i="4"/>
  <c r="I6" i="2"/>
  <c r="K5" i="2"/>
  <c r="L5" i="2"/>
  <c r="M5" i="2"/>
  <c r="J5" i="2"/>
  <c r="J6" i="2"/>
  <c r="K6" i="2"/>
  <c r="L6" i="2"/>
  <c r="M6" i="2"/>
  <c r="J7" i="2"/>
  <c r="K7" i="2"/>
  <c r="L7" i="2"/>
  <c r="M7" i="2"/>
  <c r="J8" i="2"/>
  <c r="K8" i="2"/>
  <c r="L8" i="2"/>
  <c r="M8" i="2"/>
  <c r="J9" i="2"/>
  <c r="K9" i="2"/>
  <c r="L9" i="2"/>
  <c r="M9" i="2"/>
  <c r="J10" i="2"/>
  <c r="K10" i="2"/>
  <c r="L10" i="2"/>
  <c r="M10" i="2"/>
  <c r="I7" i="2"/>
  <c r="I8" i="2"/>
  <c r="I9" i="2"/>
  <c r="I10" i="2"/>
  <c r="O2401" i="3" a="1"/>
  <c r="O2401" i="3" s="1"/>
  <c r="N2401" i="3"/>
  <c r="M2401" i="3"/>
  <c r="O2400" i="3" a="1"/>
  <c r="O2400" i="3" s="1"/>
  <c r="N2400" i="3"/>
  <c r="M2400" i="3"/>
  <c r="O2399" i="3" a="1"/>
  <c r="O2399" i="3" s="1"/>
  <c r="N2399" i="3"/>
  <c r="M2399" i="3"/>
  <c r="O2398" i="3" a="1"/>
  <c r="O2398" i="3" s="1"/>
  <c r="N2398" i="3"/>
  <c r="M2398" i="3"/>
  <c r="O2397" i="3" a="1"/>
  <c r="O2397" i="3" s="1"/>
  <c r="N2397" i="3"/>
  <c r="M2397" i="3"/>
  <c r="O2396" i="3" a="1"/>
  <c r="O2396" i="3" s="1"/>
  <c r="N2396" i="3"/>
  <c r="M2396" i="3"/>
  <c r="O2395" i="3" a="1"/>
  <c r="O2395" i="3" s="1"/>
  <c r="N2395" i="3"/>
  <c r="M2395" i="3"/>
  <c r="O2394" i="3" a="1"/>
  <c r="O2394" i="3" s="1"/>
  <c r="N2394" i="3"/>
  <c r="M2394" i="3"/>
  <c r="O2393" i="3" a="1"/>
  <c r="O2393" i="3" s="1"/>
  <c r="N2393" i="3"/>
  <c r="M2393" i="3"/>
  <c r="O2392" i="3" a="1"/>
  <c r="O2392" i="3" s="1"/>
  <c r="N2392" i="3"/>
  <c r="M2392" i="3"/>
  <c r="O2391" i="3" a="1"/>
  <c r="O2391" i="3" s="1"/>
  <c r="N2391" i="3"/>
  <c r="M2391" i="3"/>
  <c r="O2390" i="3" a="1"/>
  <c r="O2390" i="3" s="1"/>
  <c r="N2390" i="3"/>
  <c r="M2390" i="3"/>
  <c r="O2389" i="3" a="1"/>
  <c r="O2389" i="3" s="1"/>
  <c r="N2389" i="3"/>
  <c r="M2389" i="3"/>
  <c r="O2388" i="3" a="1"/>
  <c r="O2388" i="3" s="1"/>
  <c r="N2388" i="3"/>
  <c r="M2388" i="3"/>
  <c r="O2387" i="3" a="1"/>
  <c r="O2387" i="3" s="1"/>
  <c r="N2387" i="3"/>
  <c r="M2387" i="3"/>
  <c r="O2386" i="3" a="1"/>
  <c r="O2386" i="3" s="1"/>
  <c r="N2386" i="3"/>
  <c r="M2386" i="3"/>
  <c r="O2385" i="3" a="1"/>
  <c r="O2385" i="3" s="1"/>
  <c r="N2385" i="3"/>
  <c r="M2385" i="3"/>
  <c r="O2384" i="3" a="1"/>
  <c r="O2384" i="3" s="1"/>
  <c r="N2384" i="3"/>
  <c r="M2384" i="3"/>
  <c r="O2383" i="3" a="1"/>
  <c r="O2383" i="3" s="1"/>
  <c r="N2383" i="3"/>
  <c r="M2383" i="3"/>
  <c r="O2382" i="3" a="1"/>
  <c r="O2382" i="3" s="1"/>
  <c r="N2382" i="3"/>
  <c r="M2382" i="3"/>
  <c r="O2381" i="3" a="1"/>
  <c r="O2381" i="3" s="1"/>
  <c r="N2381" i="3"/>
  <c r="M2381" i="3"/>
  <c r="O2380" i="3" a="1"/>
  <c r="O2380" i="3" s="1"/>
  <c r="N2380" i="3"/>
  <c r="M2380" i="3"/>
  <c r="O2379" i="3" a="1"/>
  <c r="O2379" i="3" s="1"/>
  <c r="N2379" i="3"/>
  <c r="M2379" i="3"/>
  <c r="O2378" i="3" a="1"/>
  <c r="O2378" i="3" s="1"/>
  <c r="N2378" i="3"/>
  <c r="M2378" i="3"/>
  <c r="O2377" i="3" a="1"/>
  <c r="O2377" i="3" s="1"/>
  <c r="N2377" i="3"/>
  <c r="M2377" i="3"/>
  <c r="O2376" i="3" a="1"/>
  <c r="O2376" i="3" s="1"/>
  <c r="N2376" i="3"/>
  <c r="M2376" i="3"/>
  <c r="O2375" i="3" a="1"/>
  <c r="O2375" i="3" s="1"/>
  <c r="N2375" i="3"/>
  <c r="M2375" i="3"/>
  <c r="O2374" i="3" a="1"/>
  <c r="O2374" i="3" s="1"/>
  <c r="N2374" i="3"/>
  <c r="M2374" i="3"/>
  <c r="O2373" i="3" a="1"/>
  <c r="O2373" i="3" s="1"/>
  <c r="N2373" i="3"/>
  <c r="M2373" i="3"/>
  <c r="O2372" i="3" a="1"/>
  <c r="O2372" i="3" s="1"/>
  <c r="N2372" i="3"/>
  <c r="M2372" i="3"/>
  <c r="O2371" i="3" a="1"/>
  <c r="O2371" i="3" s="1"/>
  <c r="N2371" i="3"/>
  <c r="M2371" i="3"/>
  <c r="O2370" i="3" a="1"/>
  <c r="O2370" i="3" s="1"/>
  <c r="N2370" i="3"/>
  <c r="M2370" i="3"/>
  <c r="O2369" i="3" a="1"/>
  <c r="O2369" i="3" s="1"/>
  <c r="N2369" i="3"/>
  <c r="M2369" i="3"/>
  <c r="O2368" i="3" a="1"/>
  <c r="O2368" i="3" s="1"/>
  <c r="N2368" i="3"/>
  <c r="M2368" i="3"/>
  <c r="O2367" i="3" a="1"/>
  <c r="O2367" i="3" s="1"/>
  <c r="N2367" i="3"/>
  <c r="M2367" i="3"/>
  <c r="O2366" i="3" a="1"/>
  <c r="O2366" i="3" s="1"/>
  <c r="N2366" i="3"/>
  <c r="M2366" i="3"/>
  <c r="O2365" i="3" a="1"/>
  <c r="O2365" i="3" s="1"/>
  <c r="N2365" i="3"/>
  <c r="M2365" i="3"/>
  <c r="O2364" i="3" a="1"/>
  <c r="O2364" i="3" s="1"/>
  <c r="N2364" i="3"/>
  <c r="M2364" i="3"/>
  <c r="O2363" i="3" a="1"/>
  <c r="O2363" i="3" s="1"/>
  <c r="N2363" i="3"/>
  <c r="M2363" i="3"/>
  <c r="O2362" i="3" a="1"/>
  <c r="O2362" i="3" s="1"/>
  <c r="N2362" i="3"/>
  <c r="M2362" i="3"/>
  <c r="O2361" i="3" a="1"/>
  <c r="O2361" i="3" s="1"/>
  <c r="N2361" i="3"/>
  <c r="M2361" i="3"/>
  <c r="O2360" i="3" a="1"/>
  <c r="O2360" i="3" s="1"/>
  <c r="N2360" i="3"/>
  <c r="M2360" i="3"/>
  <c r="O2359" i="3" a="1"/>
  <c r="O2359" i="3" s="1"/>
  <c r="N2359" i="3"/>
  <c r="M2359" i="3"/>
  <c r="O2358" i="3" a="1"/>
  <c r="O2358" i="3" s="1"/>
  <c r="N2358" i="3"/>
  <c r="M2358" i="3"/>
  <c r="O2357" i="3" a="1"/>
  <c r="O2357" i="3" s="1"/>
  <c r="N2357" i="3"/>
  <c r="M2357" i="3"/>
  <c r="O2356" i="3" a="1"/>
  <c r="O2356" i="3" s="1"/>
  <c r="N2356" i="3"/>
  <c r="M2356" i="3"/>
  <c r="O2355" i="3" a="1"/>
  <c r="O2355" i="3" s="1"/>
  <c r="N2355" i="3"/>
  <c r="M2355" i="3"/>
  <c r="O2354" i="3" a="1"/>
  <c r="O2354" i="3" s="1"/>
  <c r="N2354" i="3"/>
  <c r="M2354" i="3"/>
  <c r="O2353" i="3" a="1"/>
  <c r="O2353" i="3" s="1"/>
  <c r="N2353" i="3"/>
  <c r="M2353" i="3"/>
  <c r="O2352" i="3" a="1"/>
  <c r="O2352" i="3" s="1"/>
  <c r="N2352" i="3"/>
  <c r="M2352" i="3"/>
  <c r="O2351" i="3" a="1"/>
  <c r="O2351" i="3" s="1"/>
  <c r="N2351" i="3"/>
  <c r="M2351" i="3"/>
  <c r="O2350" i="3" a="1"/>
  <c r="O2350" i="3" s="1"/>
  <c r="N2350" i="3"/>
  <c r="M2350" i="3"/>
  <c r="O2349" i="3" a="1"/>
  <c r="O2349" i="3" s="1"/>
  <c r="N2349" i="3"/>
  <c r="M2349" i="3"/>
  <c r="O2348" i="3" a="1"/>
  <c r="O2348" i="3" s="1"/>
  <c r="N2348" i="3"/>
  <c r="M2348" i="3"/>
  <c r="O2347" i="3" a="1"/>
  <c r="O2347" i="3" s="1"/>
  <c r="N2347" i="3"/>
  <c r="M2347" i="3"/>
  <c r="O2346" i="3" a="1"/>
  <c r="O2346" i="3" s="1"/>
  <c r="N2346" i="3"/>
  <c r="M2346" i="3"/>
  <c r="O2345" i="3" a="1"/>
  <c r="O2345" i="3" s="1"/>
  <c r="N2345" i="3"/>
  <c r="M2345" i="3"/>
  <c r="O2344" i="3" a="1"/>
  <c r="O2344" i="3" s="1"/>
  <c r="N2344" i="3"/>
  <c r="M2344" i="3"/>
  <c r="O2343" i="3" a="1"/>
  <c r="O2343" i="3" s="1"/>
  <c r="N2343" i="3"/>
  <c r="M2343" i="3"/>
  <c r="O2342" i="3" a="1"/>
  <c r="O2342" i="3" s="1"/>
  <c r="N2342" i="3"/>
  <c r="M2342" i="3"/>
  <c r="O2341" i="3" a="1"/>
  <c r="O2341" i="3" s="1"/>
  <c r="N2341" i="3"/>
  <c r="M2341" i="3"/>
  <c r="O2340" i="3" a="1"/>
  <c r="O2340" i="3" s="1"/>
  <c r="N2340" i="3"/>
  <c r="M2340" i="3"/>
  <c r="O2339" i="3" a="1"/>
  <c r="O2339" i="3" s="1"/>
  <c r="N2339" i="3"/>
  <c r="M2339" i="3"/>
  <c r="O2338" i="3" a="1"/>
  <c r="O2338" i="3" s="1"/>
  <c r="N2338" i="3"/>
  <c r="M2338" i="3"/>
  <c r="O2337" i="3" a="1"/>
  <c r="O2337" i="3" s="1"/>
  <c r="N2337" i="3"/>
  <c r="M2337" i="3"/>
  <c r="O2336" i="3" a="1"/>
  <c r="O2336" i="3" s="1"/>
  <c r="N2336" i="3"/>
  <c r="M2336" i="3"/>
  <c r="O2335" i="3" a="1"/>
  <c r="O2335" i="3" s="1"/>
  <c r="N2335" i="3"/>
  <c r="M2335" i="3"/>
  <c r="O2334" i="3" a="1"/>
  <c r="O2334" i="3" s="1"/>
  <c r="N2334" i="3"/>
  <c r="M2334" i="3"/>
  <c r="O2333" i="3" a="1"/>
  <c r="O2333" i="3" s="1"/>
  <c r="N2333" i="3"/>
  <c r="M2333" i="3"/>
  <c r="O2332" i="3" a="1"/>
  <c r="O2332" i="3" s="1"/>
  <c r="N2332" i="3"/>
  <c r="M2332" i="3"/>
  <c r="O2331" i="3" a="1"/>
  <c r="O2331" i="3" s="1"/>
  <c r="N2331" i="3"/>
  <c r="M2331" i="3"/>
  <c r="O2330" i="3" a="1"/>
  <c r="O2330" i="3" s="1"/>
  <c r="N2330" i="3"/>
  <c r="M2330" i="3"/>
  <c r="O2329" i="3" a="1"/>
  <c r="O2329" i="3" s="1"/>
  <c r="N2329" i="3"/>
  <c r="M2329" i="3"/>
  <c r="O2328" i="3" a="1"/>
  <c r="O2328" i="3" s="1"/>
  <c r="N2328" i="3"/>
  <c r="M2328" i="3"/>
  <c r="O2327" i="3" a="1"/>
  <c r="O2327" i="3" s="1"/>
  <c r="N2327" i="3"/>
  <c r="M2327" i="3"/>
  <c r="O2326" i="3" a="1"/>
  <c r="O2326" i="3" s="1"/>
  <c r="N2326" i="3"/>
  <c r="M2326" i="3"/>
  <c r="O2325" i="3" a="1"/>
  <c r="O2325" i="3" s="1"/>
  <c r="N2325" i="3"/>
  <c r="M2325" i="3"/>
  <c r="O2324" i="3" a="1"/>
  <c r="O2324" i="3" s="1"/>
  <c r="N2324" i="3"/>
  <c r="M2324" i="3"/>
  <c r="O2323" i="3" a="1"/>
  <c r="O2323" i="3" s="1"/>
  <c r="N2323" i="3"/>
  <c r="M2323" i="3"/>
  <c r="O2322" i="3" a="1"/>
  <c r="O2322" i="3" s="1"/>
  <c r="N2322" i="3"/>
  <c r="M2322" i="3"/>
  <c r="O2321" i="3" a="1"/>
  <c r="O2321" i="3" s="1"/>
  <c r="N2321" i="3"/>
  <c r="M2321" i="3"/>
  <c r="O2320" i="3" a="1"/>
  <c r="O2320" i="3" s="1"/>
  <c r="N2320" i="3"/>
  <c r="M2320" i="3"/>
  <c r="O2319" i="3" a="1"/>
  <c r="O2319" i="3" s="1"/>
  <c r="N2319" i="3"/>
  <c r="M2319" i="3"/>
  <c r="O2318" i="3" a="1"/>
  <c r="O2318" i="3" s="1"/>
  <c r="N2318" i="3"/>
  <c r="M2318" i="3"/>
  <c r="O2317" i="3" a="1"/>
  <c r="O2317" i="3" s="1"/>
  <c r="N2317" i="3"/>
  <c r="M2317" i="3"/>
  <c r="O2316" i="3" a="1"/>
  <c r="O2316" i="3" s="1"/>
  <c r="N2316" i="3"/>
  <c r="M2316" i="3"/>
  <c r="O2315" i="3" a="1"/>
  <c r="O2315" i="3" s="1"/>
  <c r="N2315" i="3"/>
  <c r="M2315" i="3"/>
  <c r="O2314" i="3" a="1"/>
  <c r="O2314" i="3" s="1"/>
  <c r="N2314" i="3"/>
  <c r="M2314" i="3"/>
  <c r="O2313" i="3" a="1"/>
  <c r="O2313" i="3" s="1"/>
  <c r="N2313" i="3"/>
  <c r="M2313" i="3"/>
  <c r="O2312" i="3" a="1"/>
  <c r="O2312" i="3" s="1"/>
  <c r="N2312" i="3"/>
  <c r="M2312" i="3"/>
  <c r="O2311" i="3" a="1"/>
  <c r="O2311" i="3" s="1"/>
  <c r="N2311" i="3"/>
  <c r="M2311" i="3"/>
  <c r="O2310" i="3" a="1"/>
  <c r="O2310" i="3" s="1"/>
  <c r="N2310" i="3"/>
  <c r="M2310" i="3"/>
  <c r="O2309" i="3" a="1"/>
  <c r="O2309" i="3" s="1"/>
  <c r="N2309" i="3"/>
  <c r="M2309" i="3"/>
  <c r="O2308" i="3" a="1"/>
  <c r="O2308" i="3" s="1"/>
  <c r="N2308" i="3"/>
  <c r="M2308" i="3"/>
  <c r="O2307" i="3" a="1"/>
  <c r="O2307" i="3" s="1"/>
  <c r="N2307" i="3"/>
  <c r="M2307" i="3"/>
  <c r="O2306" i="3" a="1"/>
  <c r="O2306" i="3" s="1"/>
  <c r="N2306" i="3"/>
  <c r="M2306" i="3"/>
  <c r="O2305" i="3" a="1"/>
  <c r="O2305" i="3" s="1"/>
  <c r="N2305" i="3"/>
  <c r="M2305" i="3"/>
  <c r="O2304" i="3" a="1"/>
  <c r="O2304" i="3" s="1"/>
  <c r="N2304" i="3"/>
  <c r="M2304" i="3"/>
  <c r="O2303" i="3" a="1"/>
  <c r="O2303" i="3" s="1"/>
  <c r="N2303" i="3"/>
  <c r="M2303" i="3"/>
  <c r="O2302" i="3" a="1"/>
  <c r="O2302" i="3" s="1"/>
  <c r="N2302" i="3"/>
  <c r="M2302" i="3"/>
  <c r="O2301" i="3" a="1"/>
  <c r="O2301" i="3" s="1"/>
  <c r="N2301" i="3"/>
  <c r="M2301" i="3"/>
  <c r="O2300" i="3" a="1"/>
  <c r="O2300" i="3" s="1"/>
  <c r="N2300" i="3"/>
  <c r="M2300" i="3"/>
  <c r="O2299" i="3" a="1"/>
  <c r="O2299" i="3" s="1"/>
  <c r="N2299" i="3"/>
  <c r="M2299" i="3"/>
  <c r="O2298" i="3" a="1"/>
  <c r="O2298" i="3" s="1"/>
  <c r="N2298" i="3"/>
  <c r="M2298" i="3"/>
  <c r="O2297" i="3" a="1"/>
  <c r="O2297" i="3" s="1"/>
  <c r="N2297" i="3"/>
  <c r="M2297" i="3"/>
  <c r="O2296" i="3" a="1"/>
  <c r="O2296" i="3" s="1"/>
  <c r="N2296" i="3"/>
  <c r="M2296" i="3"/>
  <c r="O2295" i="3" a="1"/>
  <c r="O2295" i="3" s="1"/>
  <c r="N2295" i="3"/>
  <c r="M2295" i="3"/>
  <c r="O2294" i="3" a="1"/>
  <c r="O2294" i="3" s="1"/>
  <c r="N2294" i="3"/>
  <c r="M2294" i="3"/>
  <c r="O2293" i="3" a="1"/>
  <c r="O2293" i="3" s="1"/>
  <c r="N2293" i="3"/>
  <c r="M2293" i="3"/>
  <c r="O2292" i="3" a="1"/>
  <c r="O2292" i="3" s="1"/>
  <c r="N2292" i="3"/>
  <c r="M2292" i="3"/>
  <c r="O2291" i="3" a="1"/>
  <c r="O2291" i="3" s="1"/>
  <c r="N2291" i="3"/>
  <c r="M2291" i="3"/>
  <c r="O2290" i="3" a="1"/>
  <c r="O2290" i="3" s="1"/>
  <c r="N2290" i="3"/>
  <c r="M2290" i="3"/>
  <c r="O2289" i="3" a="1"/>
  <c r="O2289" i="3" s="1"/>
  <c r="N2289" i="3"/>
  <c r="M2289" i="3"/>
  <c r="O2288" i="3" a="1"/>
  <c r="O2288" i="3" s="1"/>
  <c r="N2288" i="3"/>
  <c r="M2288" i="3"/>
  <c r="O2287" i="3" a="1"/>
  <c r="O2287" i="3" s="1"/>
  <c r="N2287" i="3"/>
  <c r="M2287" i="3"/>
  <c r="O2286" i="3" a="1"/>
  <c r="O2286" i="3" s="1"/>
  <c r="N2286" i="3"/>
  <c r="M2286" i="3"/>
  <c r="O2285" i="3" a="1"/>
  <c r="O2285" i="3" s="1"/>
  <c r="N2285" i="3"/>
  <c r="M2285" i="3"/>
  <c r="O2284" i="3" a="1"/>
  <c r="O2284" i="3" s="1"/>
  <c r="N2284" i="3"/>
  <c r="M2284" i="3"/>
  <c r="O2283" i="3" a="1"/>
  <c r="O2283" i="3" s="1"/>
  <c r="N2283" i="3"/>
  <c r="M2283" i="3"/>
  <c r="O2282" i="3" a="1"/>
  <c r="O2282" i="3" s="1"/>
  <c r="N2282" i="3"/>
  <c r="M2282" i="3"/>
  <c r="O2281" i="3" a="1"/>
  <c r="O2281" i="3" s="1"/>
  <c r="N2281" i="3"/>
  <c r="M2281" i="3"/>
  <c r="O2280" i="3" a="1"/>
  <c r="O2280" i="3" s="1"/>
  <c r="N2280" i="3"/>
  <c r="M2280" i="3"/>
  <c r="O2279" i="3" a="1"/>
  <c r="O2279" i="3" s="1"/>
  <c r="N2279" i="3"/>
  <c r="M2279" i="3"/>
  <c r="O2278" i="3" a="1"/>
  <c r="O2278" i="3" s="1"/>
  <c r="N2278" i="3"/>
  <c r="M2278" i="3"/>
  <c r="O2277" i="3" a="1"/>
  <c r="O2277" i="3" s="1"/>
  <c r="N2277" i="3"/>
  <c r="M2277" i="3"/>
  <c r="O2276" i="3" a="1"/>
  <c r="O2276" i="3" s="1"/>
  <c r="N2276" i="3"/>
  <c r="M2276" i="3"/>
  <c r="O2275" i="3" a="1"/>
  <c r="O2275" i="3" s="1"/>
  <c r="N2275" i="3"/>
  <c r="M2275" i="3"/>
  <c r="O2274" i="3" a="1"/>
  <c r="O2274" i="3" s="1"/>
  <c r="N2274" i="3"/>
  <c r="M2274" i="3"/>
  <c r="O2273" i="3" a="1"/>
  <c r="O2273" i="3" s="1"/>
  <c r="N2273" i="3"/>
  <c r="M2273" i="3"/>
  <c r="O2272" i="3" a="1"/>
  <c r="O2272" i="3" s="1"/>
  <c r="N2272" i="3"/>
  <c r="M2272" i="3"/>
  <c r="O2271" i="3" a="1"/>
  <c r="O2271" i="3" s="1"/>
  <c r="N2271" i="3"/>
  <c r="M2271" i="3"/>
  <c r="O2270" i="3" a="1"/>
  <c r="O2270" i="3" s="1"/>
  <c r="N2270" i="3"/>
  <c r="M2270" i="3"/>
  <c r="O2269" i="3" a="1"/>
  <c r="O2269" i="3" s="1"/>
  <c r="N2269" i="3"/>
  <c r="M2269" i="3"/>
  <c r="O2268" i="3" a="1"/>
  <c r="O2268" i="3" s="1"/>
  <c r="N2268" i="3"/>
  <c r="M2268" i="3"/>
  <c r="O2267" i="3" a="1"/>
  <c r="O2267" i="3" s="1"/>
  <c r="N2267" i="3"/>
  <c r="M2267" i="3"/>
  <c r="O2266" i="3" a="1"/>
  <c r="O2266" i="3" s="1"/>
  <c r="N2266" i="3"/>
  <c r="M2266" i="3"/>
  <c r="O2265" i="3" a="1"/>
  <c r="O2265" i="3" s="1"/>
  <c r="N2265" i="3"/>
  <c r="M2265" i="3"/>
  <c r="O2264" i="3" a="1"/>
  <c r="O2264" i="3" s="1"/>
  <c r="N2264" i="3"/>
  <c r="M2264" i="3"/>
  <c r="O2263" i="3" a="1"/>
  <c r="O2263" i="3" s="1"/>
  <c r="N2263" i="3"/>
  <c r="M2263" i="3"/>
  <c r="O2262" i="3" a="1"/>
  <c r="O2262" i="3" s="1"/>
  <c r="N2262" i="3"/>
  <c r="M2262" i="3"/>
  <c r="O2261" i="3" a="1"/>
  <c r="O2261" i="3" s="1"/>
  <c r="N2261" i="3"/>
  <c r="M2261" i="3"/>
  <c r="O2260" i="3" a="1"/>
  <c r="O2260" i="3" s="1"/>
  <c r="N2260" i="3"/>
  <c r="M2260" i="3"/>
  <c r="O2259" i="3" a="1"/>
  <c r="O2259" i="3" s="1"/>
  <c r="N2259" i="3"/>
  <c r="M2259" i="3"/>
  <c r="O2258" i="3" a="1"/>
  <c r="O2258" i="3" s="1"/>
  <c r="N2258" i="3"/>
  <c r="M2258" i="3"/>
  <c r="O2257" i="3" a="1"/>
  <c r="O2257" i="3" s="1"/>
  <c r="N2257" i="3"/>
  <c r="M2257" i="3"/>
  <c r="O2256" i="3" a="1"/>
  <c r="O2256" i="3" s="1"/>
  <c r="N2256" i="3"/>
  <c r="M2256" i="3"/>
  <c r="O2255" i="3" a="1"/>
  <c r="O2255" i="3" s="1"/>
  <c r="N2255" i="3"/>
  <c r="M2255" i="3"/>
  <c r="O2254" i="3" a="1"/>
  <c r="O2254" i="3" s="1"/>
  <c r="N2254" i="3"/>
  <c r="M2254" i="3"/>
  <c r="O2253" i="3" a="1"/>
  <c r="O2253" i="3" s="1"/>
  <c r="N2253" i="3"/>
  <c r="M2253" i="3"/>
  <c r="O2252" i="3" a="1"/>
  <c r="O2252" i="3" s="1"/>
  <c r="N2252" i="3"/>
  <c r="M2252" i="3"/>
  <c r="O2251" i="3" a="1"/>
  <c r="O2251" i="3" s="1"/>
  <c r="N2251" i="3"/>
  <c r="M2251" i="3"/>
  <c r="O2250" i="3" a="1"/>
  <c r="O2250" i="3" s="1"/>
  <c r="N2250" i="3"/>
  <c r="M2250" i="3"/>
  <c r="O2249" i="3" a="1"/>
  <c r="O2249" i="3" s="1"/>
  <c r="N2249" i="3"/>
  <c r="M2249" i="3"/>
  <c r="O2248" i="3" a="1"/>
  <c r="O2248" i="3" s="1"/>
  <c r="N2248" i="3"/>
  <c r="M2248" i="3"/>
  <c r="O2247" i="3" a="1"/>
  <c r="O2247" i="3" s="1"/>
  <c r="N2247" i="3"/>
  <c r="M2247" i="3"/>
  <c r="O2246" i="3" a="1"/>
  <c r="O2246" i="3" s="1"/>
  <c r="N2246" i="3"/>
  <c r="M2246" i="3"/>
  <c r="O2245" i="3" a="1"/>
  <c r="O2245" i="3" s="1"/>
  <c r="N2245" i="3"/>
  <c r="M2245" i="3"/>
  <c r="O2244" i="3" a="1"/>
  <c r="O2244" i="3" s="1"/>
  <c r="N2244" i="3"/>
  <c r="M2244" i="3"/>
  <c r="O2243" i="3" a="1"/>
  <c r="O2243" i="3" s="1"/>
  <c r="N2243" i="3"/>
  <c r="M2243" i="3"/>
  <c r="O2242" i="3" a="1"/>
  <c r="O2242" i="3" s="1"/>
  <c r="N2242" i="3"/>
  <c r="M2242" i="3"/>
  <c r="O2241" i="3" a="1"/>
  <c r="O2241" i="3" s="1"/>
  <c r="N2241" i="3"/>
  <c r="M2241" i="3"/>
  <c r="O2240" i="3" a="1"/>
  <c r="O2240" i="3" s="1"/>
  <c r="N2240" i="3"/>
  <c r="M2240" i="3"/>
  <c r="O2239" i="3" a="1"/>
  <c r="O2239" i="3" s="1"/>
  <c r="N2239" i="3"/>
  <c r="M2239" i="3"/>
  <c r="O2238" i="3" a="1"/>
  <c r="O2238" i="3" s="1"/>
  <c r="N2238" i="3"/>
  <c r="M2238" i="3"/>
  <c r="O2237" i="3" a="1"/>
  <c r="O2237" i="3" s="1"/>
  <c r="N2237" i="3"/>
  <c r="M2237" i="3"/>
  <c r="O2236" i="3" a="1"/>
  <c r="O2236" i="3" s="1"/>
  <c r="N2236" i="3"/>
  <c r="M2236" i="3"/>
  <c r="O2235" i="3" a="1"/>
  <c r="O2235" i="3" s="1"/>
  <c r="N2235" i="3"/>
  <c r="M2235" i="3"/>
  <c r="O2234" i="3" a="1"/>
  <c r="O2234" i="3" s="1"/>
  <c r="N2234" i="3"/>
  <c r="M2234" i="3"/>
  <c r="O2233" i="3" a="1"/>
  <c r="O2233" i="3" s="1"/>
  <c r="N2233" i="3"/>
  <c r="M2233" i="3"/>
  <c r="O2232" i="3" a="1"/>
  <c r="O2232" i="3" s="1"/>
  <c r="N2232" i="3"/>
  <c r="M2232" i="3"/>
  <c r="O2231" i="3" a="1"/>
  <c r="O2231" i="3" s="1"/>
  <c r="N2231" i="3"/>
  <c r="M2231" i="3"/>
  <c r="O2230" i="3" a="1"/>
  <c r="O2230" i="3" s="1"/>
  <c r="N2230" i="3"/>
  <c r="M2230" i="3"/>
  <c r="O2229" i="3" a="1"/>
  <c r="O2229" i="3" s="1"/>
  <c r="N2229" i="3"/>
  <c r="M2229" i="3"/>
  <c r="O2228" i="3" a="1"/>
  <c r="O2228" i="3" s="1"/>
  <c r="N2228" i="3"/>
  <c r="M2228" i="3"/>
  <c r="O2227" i="3" a="1"/>
  <c r="O2227" i="3" s="1"/>
  <c r="N2227" i="3"/>
  <c r="M2227" i="3"/>
  <c r="O2226" i="3" a="1"/>
  <c r="O2226" i="3" s="1"/>
  <c r="N2226" i="3"/>
  <c r="M2226" i="3"/>
  <c r="O2225" i="3"/>
  <c r="O2225" i="3" a="1"/>
  <c r="N2225" i="3"/>
  <c r="M2225" i="3"/>
  <c r="O2224" i="3" a="1"/>
  <c r="O2224" i="3" s="1"/>
  <c r="N2224" i="3"/>
  <c r="M2224" i="3"/>
  <c r="O2223" i="3" a="1"/>
  <c r="O2223" i="3" s="1"/>
  <c r="N2223" i="3"/>
  <c r="M2223" i="3"/>
  <c r="O2222" i="3" a="1"/>
  <c r="O2222" i="3" s="1"/>
  <c r="N2222" i="3"/>
  <c r="M2222" i="3"/>
  <c r="O2221" i="3"/>
  <c r="O2221" i="3" a="1"/>
  <c r="N2221" i="3"/>
  <c r="M2221" i="3"/>
  <c r="O2220" i="3" a="1"/>
  <c r="O2220" i="3" s="1"/>
  <c r="N2220" i="3"/>
  <c r="M2220" i="3"/>
  <c r="O2219" i="3" a="1"/>
  <c r="O2219" i="3" s="1"/>
  <c r="N2219" i="3"/>
  <c r="M2219" i="3"/>
  <c r="O2218" i="3" a="1"/>
  <c r="O2218" i="3" s="1"/>
  <c r="N2218" i="3"/>
  <c r="M2218" i="3"/>
  <c r="O2217" i="3"/>
  <c r="O2217" i="3" a="1"/>
  <c r="N2217" i="3"/>
  <c r="M2217" i="3"/>
  <c r="O2216" i="3" a="1"/>
  <c r="O2216" i="3" s="1"/>
  <c r="N2216" i="3"/>
  <c r="M2216" i="3"/>
  <c r="O2215" i="3"/>
  <c r="O2215" i="3" a="1"/>
  <c r="N2215" i="3"/>
  <c r="M2215" i="3"/>
  <c r="O2214" i="3" a="1"/>
  <c r="O2214" i="3" s="1"/>
  <c r="N2214" i="3"/>
  <c r="M2214" i="3"/>
  <c r="O2213" i="3" a="1"/>
  <c r="O2213" i="3" s="1"/>
  <c r="N2213" i="3"/>
  <c r="M2213" i="3"/>
  <c r="O2212" i="3" a="1"/>
  <c r="O2212" i="3" s="1"/>
  <c r="N2212" i="3"/>
  <c r="M2212" i="3"/>
  <c r="O2211" i="3" a="1"/>
  <c r="O2211" i="3" s="1"/>
  <c r="N2211" i="3"/>
  <c r="M2211" i="3"/>
  <c r="O2210" i="3" a="1"/>
  <c r="O2210" i="3" s="1"/>
  <c r="N2210" i="3"/>
  <c r="M2210" i="3"/>
  <c r="O2209" i="3"/>
  <c r="O2209" i="3" a="1"/>
  <c r="N2209" i="3"/>
  <c r="M2209" i="3"/>
  <c r="O2208" i="3" a="1"/>
  <c r="O2208" i="3" s="1"/>
  <c r="N2208" i="3"/>
  <c r="M2208" i="3"/>
  <c r="O2207" i="3" a="1"/>
  <c r="O2207" i="3" s="1"/>
  <c r="N2207" i="3"/>
  <c r="M2207" i="3"/>
  <c r="O2206" i="3" a="1"/>
  <c r="O2206" i="3" s="1"/>
  <c r="N2206" i="3"/>
  <c r="M2206" i="3"/>
  <c r="O2205" i="3"/>
  <c r="O2205" i="3" a="1"/>
  <c r="N2205" i="3"/>
  <c r="M2205" i="3"/>
  <c r="O2204" i="3" a="1"/>
  <c r="O2204" i="3" s="1"/>
  <c r="N2204" i="3"/>
  <c r="M2204" i="3"/>
  <c r="O2203" i="3" a="1"/>
  <c r="O2203" i="3" s="1"/>
  <c r="N2203" i="3"/>
  <c r="M2203" i="3"/>
  <c r="O2202" i="3" a="1"/>
  <c r="O2202" i="3" s="1"/>
  <c r="N2202" i="3"/>
  <c r="M2202" i="3"/>
  <c r="O2201" i="3"/>
  <c r="O2201" i="3" a="1"/>
  <c r="N2201" i="3"/>
  <c r="M2201" i="3"/>
  <c r="O2200" i="3" a="1"/>
  <c r="O2200" i="3" s="1"/>
  <c r="N2200" i="3"/>
  <c r="M2200" i="3"/>
  <c r="O2199" i="3" a="1"/>
  <c r="O2199" i="3" s="1"/>
  <c r="N2199" i="3"/>
  <c r="M2199" i="3"/>
  <c r="O2198" i="3" a="1"/>
  <c r="O2198" i="3" s="1"/>
  <c r="N2198" i="3"/>
  <c r="M2198" i="3"/>
  <c r="O2197" i="3" a="1"/>
  <c r="O2197" i="3" s="1"/>
  <c r="N2197" i="3"/>
  <c r="M2197" i="3"/>
  <c r="O2196" i="3" a="1"/>
  <c r="O2196" i="3" s="1"/>
  <c r="N2196" i="3"/>
  <c r="M2196" i="3"/>
  <c r="O2195" i="3" a="1"/>
  <c r="O2195" i="3" s="1"/>
  <c r="N2195" i="3"/>
  <c r="M2195" i="3"/>
  <c r="O2194" i="3" a="1"/>
  <c r="O2194" i="3" s="1"/>
  <c r="N2194" i="3"/>
  <c r="M2194" i="3"/>
  <c r="O2193" i="3"/>
  <c r="O2193" i="3" a="1"/>
  <c r="N2193" i="3"/>
  <c r="M2193" i="3"/>
  <c r="O2192" i="3" a="1"/>
  <c r="O2192" i="3" s="1"/>
  <c r="N2192" i="3"/>
  <c r="M2192" i="3"/>
  <c r="O2191" i="3" a="1"/>
  <c r="O2191" i="3" s="1"/>
  <c r="N2191" i="3"/>
  <c r="M2191" i="3"/>
  <c r="O2190" i="3" a="1"/>
  <c r="O2190" i="3" s="1"/>
  <c r="N2190" i="3"/>
  <c r="M2190" i="3"/>
  <c r="O2189" i="3"/>
  <c r="O2189" i="3" a="1"/>
  <c r="N2189" i="3"/>
  <c r="M2189" i="3"/>
  <c r="O2188" i="3" a="1"/>
  <c r="O2188" i="3" s="1"/>
  <c r="N2188" i="3"/>
  <c r="M2188" i="3"/>
  <c r="O2187" i="3" a="1"/>
  <c r="O2187" i="3" s="1"/>
  <c r="N2187" i="3"/>
  <c r="M2187" i="3"/>
  <c r="O2186" i="3" a="1"/>
  <c r="O2186" i="3" s="1"/>
  <c r="N2186" i="3"/>
  <c r="M2186" i="3"/>
  <c r="O2185" i="3"/>
  <c r="O2185" i="3" a="1"/>
  <c r="N2185" i="3"/>
  <c r="M2185" i="3"/>
  <c r="O2184" i="3" a="1"/>
  <c r="O2184" i="3" s="1"/>
  <c r="N2184" i="3"/>
  <c r="M2184" i="3"/>
  <c r="O2183" i="3"/>
  <c r="O2183" i="3" a="1"/>
  <c r="N2183" i="3"/>
  <c r="M2183" i="3"/>
  <c r="O2182" i="3" a="1"/>
  <c r="O2182" i="3" s="1"/>
  <c r="N2182" i="3"/>
  <c r="M2182" i="3"/>
  <c r="O2181" i="3"/>
  <c r="O2181" i="3" a="1"/>
  <c r="N2181" i="3"/>
  <c r="M2181" i="3"/>
  <c r="O2180" i="3" a="1"/>
  <c r="O2180" i="3" s="1"/>
  <c r="N2180" i="3"/>
  <c r="M2180" i="3"/>
  <c r="O2179" i="3" a="1"/>
  <c r="O2179" i="3" s="1"/>
  <c r="N2179" i="3"/>
  <c r="M2179" i="3"/>
  <c r="O2178" i="3" a="1"/>
  <c r="O2178" i="3" s="1"/>
  <c r="N2178" i="3"/>
  <c r="M2178" i="3"/>
  <c r="O2177" i="3"/>
  <c r="O2177" i="3" a="1"/>
  <c r="N2177" i="3"/>
  <c r="M2177" i="3"/>
  <c r="O2176" i="3" a="1"/>
  <c r="O2176" i="3" s="1"/>
  <c r="N2176" i="3"/>
  <c r="M2176" i="3"/>
  <c r="O2175" i="3" a="1"/>
  <c r="O2175" i="3" s="1"/>
  <c r="N2175" i="3"/>
  <c r="M2175" i="3"/>
  <c r="O2174" i="3" a="1"/>
  <c r="O2174" i="3" s="1"/>
  <c r="N2174" i="3"/>
  <c r="M2174" i="3"/>
  <c r="O2173" i="3"/>
  <c r="O2173" i="3" a="1"/>
  <c r="N2173" i="3"/>
  <c r="M2173" i="3"/>
  <c r="O2172" i="3" a="1"/>
  <c r="O2172" i="3" s="1"/>
  <c r="N2172" i="3"/>
  <c r="M2172" i="3"/>
  <c r="O2171" i="3" a="1"/>
  <c r="O2171" i="3" s="1"/>
  <c r="N2171" i="3"/>
  <c r="M2171" i="3"/>
  <c r="O2170" i="3" a="1"/>
  <c r="O2170" i="3" s="1"/>
  <c r="N2170" i="3"/>
  <c r="M2170" i="3"/>
  <c r="O2169" i="3"/>
  <c r="O2169" i="3" a="1"/>
  <c r="N2169" i="3"/>
  <c r="M2169" i="3"/>
  <c r="O2168" i="3" a="1"/>
  <c r="O2168" i="3" s="1"/>
  <c r="N2168" i="3"/>
  <c r="M2168" i="3"/>
  <c r="O2167" i="3"/>
  <c r="O2167" i="3" a="1"/>
  <c r="N2167" i="3"/>
  <c r="M2167" i="3"/>
  <c r="O2166" i="3" a="1"/>
  <c r="O2166" i="3" s="1"/>
  <c r="N2166" i="3"/>
  <c r="M2166" i="3"/>
  <c r="O2165" i="3" a="1"/>
  <c r="O2165" i="3" s="1"/>
  <c r="N2165" i="3"/>
  <c r="M2165" i="3"/>
  <c r="O2164" i="3" a="1"/>
  <c r="O2164" i="3" s="1"/>
  <c r="N2164" i="3"/>
  <c r="M2164" i="3"/>
  <c r="O2163" i="3" a="1"/>
  <c r="O2163" i="3" s="1"/>
  <c r="N2163" i="3"/>
  <c r="M2163" i="3"/>
  <c r="O2162" i="3" a="1"/>
  <c r="O2162" i="3" s="1"/>
  <c r="N2162" i="3"/>
  <c r="M2162" i="3"/>
  <c r="O2161" i="3"/>
  <c r="O2161" i="3" a="1"/>
  <c r="N2161" i="3"/>
  <c r="M2161" i="3"/>
  <c r="O2160" i="3" a="1"/>
  <c r="O2160" i="3" s="1"/>
  <c r="N2160" i="3"/>
  <c r="M2160" i="3"/>
  <c r="O2159" i="3" a="1"/>
  <c r="O2159" i="3" s="1"/>
  <c r="N2159" i="3"/>
  <c r="M2159" i="3"/>
  <c r="O2158" i="3" a="1"/>
  <c r="O2158" i="3" s="1"/>
  <c r="N2158" i="3"/>
  <c r="M2158" i="3"/>
  <c r="O2157" i="3"/>
  <c r="O2157" i="3" a="1"/>
  <c r="N2157" i="3"/>
  <c r="M2157" i="3"/>
  <c r="O2156" i="3" a="1"/>
  <c r="O2156" i="3" s="1"/>
  <c r="N2156" i="3"/>
  <c r="M2156" i="3"/>
  <c r="O2155" i="3" a="1"/>
  <c r="O2155" i="3" s="1"/>
  <c r="N2155" i="3"/>
  <c r="M2155" i="3"/>
  <c r="O2154" i="3" a="1"/>
  <c r="O2154" i="3" s="1"/>
  <c r="N2154" i="3"/>
  <c r="M2154" i="3"/>
  <c r="O2153" i="3"/>
  <c r="O2153" i="3" a="1"/>
  <c r="N2153" i="3"/>
  <c r="M2153" i="3"/>
  <c r="O2152" i="3" a="1"/>
  <c r="O2152" i="3" s="1"/>
  <c r="N2152" i="3"/>
  <c r="M2152" i="3"/>
  <c r="O2151" i="3"/>
  <c r="O2151" i="3" a="1"/>
  <c r="N2151" i="3"/>
  <c r="M2151" i="3"/>
  <c r="O2150" i="3" a="1"/>
  <c r="O2150" i="3" s="1"/>
  <c r="N2150" i="3"/>
  <c r="M2150" i="3"/>
  <c r="O2149" i="3" a="1"/>
  <c r="O2149" i="3" s="1"/>
  <c r="N2149" i="3"/>
  <c r="M2149" i="3"/>
  <c r="O2148" i="3" a="1"/>
  <c r="O2148" i="3" s="1"/>
  <c r="N2148" i="3"/>
  <c r="M2148" i="3"/>
  <c r="O2147" i="3" a="1"/>
  <c r="O2147" i="3" s="1"/>
  <c r="N2147" i="3"/>
  <c r="M2147" i="3"/>
  <c r="O2146" i="3" a="1"/>
  <c r="O2146" i="3" s="1"/>
  <c r="N2146" i="3"/>
  <c r="M2146" i="3"/>
  <c r="O2145" i="3"/>
  <c r="O2145" i="3" a="1"/>
  <c r="N2145" i="3"/>
  <c r="M2145" i="3"/>
  <c r="O2144" i="3" a="1"/>
  <c r="O2144" i="3" s="1"/>
  <c r="N2144" i="3"/>
  <c r="M2144" i="3"/>
  <c r="O2143" i="3" a="1"/>
  <c r="O2143" i="3" s="1"/>
  <c r="N2143" i="3"/>
  <c r="M2143" i="3"/>
  <c r="O2142" i="3" a="1"/>
  <c r="O2142" i="3" s="1"/>
  <c r="N2142" i="3"/>
  <c r="M2142" i="3"/>
  <c r="O2141" i="3"/>
  <c r="O2141" i="3" a="1"/>
  <c r="N2141" i="3"/>
  <c r="M2141" i="3"/>
  <c r="O2140" i="3" a="1"/>
  <c r="O2140" i="3" s="1"/>
  <c r="N2140" i="3"/>
  <c r="M2140" i="3"/>
  <c r="O2139" i="3"/>
  <c r="O2139" i="3" a="1"/>
  <c r="N2139" i="3"/>
  <c r="M2139" i="3"/>
  <c r="O2138" i="3" a="1"/>
  <c r="O2138" i="3" s="1"/>
  <c r="N2138" i="3"/>
  <c r="M2138" i="3"/>
  <c r="O2137" i="3"/>
  <c r="O2137" i="3" a="1"/>
  <c r="N2137" i="3"/>
  <c r="M2137" i="3"/>
  <c r="O2136" i="3" a="1"/>
  <c r="O2136" i="3" s="1"/>
  <c r="N2136" i="3"/>
  <c r="M2136" i="3"/>
  <c r="O2135" i="3"/>
  <c r="O2135" i="3" a="1"/>
  <c r="N2135" i="3"/>
  <c r="M2135" i="3"/>
  <c r="O2134" i="3" a="1"/>
  <c r="O2134" i="3" s="1"/>
  <c r="N2134" i="3"/>
  <c r="M2134" i="3"/>
  <c r="O2133" i="3"/>
  <c r="O2133" i="3" a="1"/>
  <c r="N2133" i="3"/>
  <c r="M2133" i="3"/>
  <c r="O2132" i="3" a="1"/>
  <c r="O2132" i="3" s="1"/>
  <c r="N2132" i="3"/>
  <c r="M2132" i="3"/>
  <c r="O2131" i="3" a="1"/>
  <c r="O2131" i="3" s="1"/>
  <c r="N2131" i="3"/>
  <c r="M2131" i="3"/>
  <c r="O2130" i="3" a="1"/>
  <c r="O2130" i="3" s="1"/>
  <c r="N2130" i="3"/>
  <c r="M2130" i="3"/>
  <c r="O2129" i="3"/>
  <c r="O2129" i="3" a="1"/>
  <c r="N2129" i="3"/>
  <c r="M2129" i="3"/>
  <c r="O2128" i="3" a="1"/>
  <c r="O2128" i="3" s="1"/>
  <c r="N2128" i="3"/>
  <c r="M2128" i="3"/>
  <c r="O2127" i="3" a="1"/>
  <c r="O2127" i="3" s="1"/>
  <c r="N2127" i="3"/>
  <c r="M2127" i="3"/>
  <c r="O2126" i="3" a="1"/>
  <c r="O2126" i="3" s="1"/>
  <c r="N2126" i="3"/>
  <c r="M2126" i="3"/>
  <c r="O2125" i="3"/>
  <c r="O2125" i="3" a="1"/>
  <c r="N2125" i="3"/>
  <c r="M2125" i="3"/>
  <c r="O2124" i="3" a="1"/>
  <c r="O2124" i="3" s="1"/>
  <c r="N2124" i="3"/>
  <c r="M2124" i="3"/>
  <c r="O2123" i="3"/>
  <c r="O2123" i="3" a="1"/>
  <c r="N2123" i="3"/>
  <c r="M2123" i="3"/>
  <c r="O2122" i="3" a="1"/>
  <c r="O2122" i="3" s="1"/>
  <c r="N2122" i="3"/>
  <c r="M2122" i="3"/>
  <c r="O2121" i="3"/>
  <c r="O2121" i="3" a="1"/>
  <c r="N2121" i="3"/>
  <c r="M2121" i="3"/>
  <c r="O2120" i="3" a="1"/>
  <c r="O2120" i="3" s="1"/>
  <c r="N2120" i="3"/>
  <c r="M2120" i="3"/>
  <c r="O2119" i="3" a="1"/>
  <c r="O2119" i="3" s="1"/>
  <c r="N2119" i="3"/>
  <c r="M2119" i="3"/>
  <c r="O2118" i="3" a="1"/>
  <c r="O2118" i="3" s="1"/>
  <c r="N2118" i="3"/>
  <c r="M2118" i="3"/>
  <c r="O2117" i="3"/>
  <c r="O2117" i="3" a="1"/>
  <c r="N2117" i="3"/>
  <c r="M2117" i="3"/>
  <c r="O2116" i="3" a="1"/>
  <c r="O2116" i="3" s="1"/>
  <c r="N2116" i="3"/>
  <c r="M2116" i="3"/>
  <c r="O2115" i="3" a="1"/>
  <c r="O2115" i="3" s="1"/>
  <c r="N2115" i="3"/>
  <c r="M2115" i="3"/>
  <c r="O2114" i="3" a="1"/>
  <c r="O2114" i="3" s="1"/>
  <c r="N2114" i="3"/>
  <c r="M2114" i="3"/>
  <c r="O2113" i="3"/>
  <c r="O2113" i="3" a="1"/>
  <c r="N2113" i="3"/>
  <c r="M2113" i="3"/>
  <c r="O2112" i="3" a="1"/>
  <c r="O2112" i="3" s="1"/>
  <c r="N2112" i="3"/>
  <c r="M2112" i="3"/>
  <c r="O2111" i="3" a="1"/>
  <c r="O2111" i="3" s="1"/>
  <c r="N2111" i="3"/>
  <c r="M2111" i="3"/>
  <c r="O2110" i="3" a="1"/>
  <c r="O2110" i="3" s="1"/>
  <c r="N2110" i="3"/>
  <c r="M2110" i="3"/>
  <c r="O2109" i="3"/>
  <c r="O2109" i="3" a="1"/>
  <c r="N2109" i="3"/>
  <c r="M2109" i="3"/>
  <c r="O2108" i="3" a="1"/>
  <c r="O2108" i="3" s="1"/>
  <c r="N2108" i="3"/>
  <c r="M2108" i="3"/>
  <c r="O2107" i="3"/>
  <c r="O2107" i="3" a="1"/>
  <c r="N2107" i="3"/>
  <c r="M2107" i="3"/>
  <c r="O2106" i="3" a="1"/>
  <c r="O2106" i="3" s="1"/>
  <c r="N2106" i="3"/>
  <c r="M2106" i="3"/>
  <c r="O2105" i="3"/>
  <c r="O2105" i="3" a="1"/>
  <c r="N2105" i="3"/>
  <c r="M2105" i="3"/>
  <c r="O2104" i="3" a="1"/>
  <c r="O2104" i="3" s="1"/>
  <c r="N2104" i="3"/>
  <c r="M2104" i="3"/>
  <c r="O2103" i="3" a="1"/>
  <c r="O2103" i="3" s="1"/>
  <c r="N2103" i="3"/>
  <c r="M2103" i="3"/>
  <c r="O2102" i="3" a="1"/>
  <c r="O2102" i="3" s="1"/>
  <c r="N2102" i="3"/>
  <c r="M2102" i="3"/>
  <c r="O2101" i="3" a="1"/>
  <c r="O2101" i="3" s="1"/>
  <c r="N2101" i="3"/>
  <c r="M2101" i="3"/>
  <c r="O2100" i="3" a="1"/>
  <c r="O2100" i="3" s="1"/>
  <c r="N2100" i="3"/>
  <c r="M2100" i="3"/>
  <c r="O2099" i="3" a="1"/>
  <c r="O2099" i="3" s="1"/>
  <c r="N2099" i="3"/>
  <c r="M2099" i="3"/>
  <c r="O2098" i="3" a="1"/>
  <c r="O2098" i="3" s="1"/>
  <c r="N2098" i="3"/>
  <c r="M2098" i="3"/>
  <c r="O2097" i="3"/>
  <c r="O2097" i="3" a="1"/>
  <c r="N2097" i="3"/>
  <c r="M2097" i="3"/>
  <c r="O2096" i="3" a="1"/>
  <c r="O2096" i="3" s="1"/>
  <c r="N2096" i="3"/>
  <c r="M2096" i="3"/>
  <c r="O2095" i="3" a="1"/>
  <c r="O2095" i="3" s="1"/>
  <c r="N2095" i="3"/>
  <c r="M2095" i="3"/>
  <c r="O2094" i="3" a="1"/>
  <c r="O2094" i="3" s="1"/>
  <c r="N2094" i="3"/>
  <c r="M2094" i="3"/>
  <c r="O2093" i="3"/>
  <c r="O2093" i="3" a="1"/>
  <c r="N2093" i="3"/>
  <c r="M2093" i="3"/>
  <c r="O2092" i="3" a="1"/>
  <c r="O2092" i="3" s="1"/>
  <c r="N2092" i="3"/>
  <c r="M2092" i="3"/>
  <c r="O2091" i="3"/>
  <c r="O2091" i="3" a="1"/>
  <c r="N2091" i="3"/>
  <c r="M2091" i="3"/>
  <c r="O2090" i="3" a="1"/>
  <c r="O2090" i="3" s="1"/>
  <c r="N2090" i="3"/>
  <c r="M2090" i="3"/>
  <c r="O2089" i="3"/>
  <c r="O2089" i="3" a="1"/>
  <c r="N2089" i="3"/>
  <c r="M2089" i="3"/>
  <c r="O2088" i="3" a="1"/>
  <c r="O2088" i="3" s="1"/>
  <c r="N2088" i="3"/>
  <c r="M2088" i="3"/>
  <c r="O2087" i="3"/>
  <c r="O2087" i="3" a="1"/>
  <c r="N2087" i="3"/>
  <c r="M2087" i="3"/>
  <c r="O2086" i="3" a="1"/>
  <c r="O2086" i="3" s="1"/>
  <c r="N2086" i="3"/>
  <c r="M2086" i="3"/>
  <c r="O2085" i="3" a="1"/>
  <c r="O2085" i="3" s="1"/>
  <c r="N2085" i="3"/>
  <c r="M2085" i="3"/>
  <c r="O2084" i="3" a="1"/>
  <c r="O2084" i="3" s="1"/>
  <c r="N2084" i="3"/>
  <c r="M2084" i="3"/>
  <c r="O2083" i="3" a="1"/>
  <c r="O2083" i="3" s="1"/>
  <c r="N2083" i="3"/>
  <c r="M2083" i="3"/>
  <c r="O2082" i="3" a="1"/>
  <c r="O2082" i="3" s="1"/>
  <c r="N2082" i="3"/>
  <c r="M2082" i="3"/>
  <c r="O2081" i="3"/>
  <c r="O2081" i="3" a="1"/>
  <c r="N2081" i="3"/>
  <c r="M2081" i="3"/>
  <c r="O2080" i="3" a="1"/>
  <c r="O2080" i="3" s="1"/>
  <c r="N2080" i="3"/>
  <c r="M2080" i="3"/>
  <c r="O2079" i="3" a="1"/>
  <c r="O2079" i="3" s="1"/>
  <c r="N2079" i="3"/>
  <c r="M2079" i="3"/>
  <c r="O2078" i="3" a="1"/>
  <c r="O2078" i="3" s="1"/>
  <c r="N2078" i="3"/>
  <c r="M2078" i="3"/>
  <c r="O2077" i="3"/>
  <c r="O2077" i="3" a="1"/>
  <c r="N2077" i="3"/>
  <c r="M2077" i="3"/>
  <c r="O2076" i="3" a="1"/>
  <c r="O2076" i="3" s="1"/>
  <c r="N2076" i="3"/>
  <c r="M2076" i="3"/>
  <c r="O2075" i="3"/>
  <c r="O2075" i="3" a="1"/>
  <c r="N2075" i="3"/>
  <c r="M2075" i="3"/>
  <c r="O2074" i="3" a="1"/>
  <c r="O2074" i="3" s="1"/>
  <c r="N2074" i="3"/>
  <c r="M2074" i="3"/>
  <c r="O2073" i="3"/>
  <c r="O2073" i="3" a="1"/>
  <c r="N2073" i="3"/>
  <c r="M2073" i="3"/>
  <c r="O2072" i="3" a="1"/>
  <c r="O2072" i="3" s="1"/>
  <c r="N2072" i="3"/>
  <c r="M2072" i="3"/>
  <c r="O2071" i="3"/>
  <c r="O2071" i="3" a="1"/>
  <c r="N2071" i="3"/>
  <c r="M2071" i="3"/>
  <c r="O2070" i="3" a="1"/>
  <c r="O2070" i="3" s="1"/>
  <c r="N2070" i="3"/>
  <c r="M2070" i="3"/>
  <c r="O2069" i="3"/>
  <c r="O2069" i="3" a="1"/>
  <c r="N2069" i="3"/>
  <c r="M2069" i="3"/>
  <c r="O2068" i="3" a="1"/>
  <c r="O2068" i="3" s="1"/>
  <c r="N2068" i="3"/>
  <c r="M2068" i="3"/>
  <c r="O2067" i="3" a="1"/>
  <c r="O2067" i="3" s="1"/>
  <c r="N2067" i="3"/>
  <c r="M2067" i="3"/>
  <c r="O2066" i="3" a="1"/>
  <c r="O2066" i="3" s="1"/>
  <c r="N2066" i="3"/>
  <c r="M2066" i="3"/>
  <c r="O2065" i="3"/>
  <c r="O2065" i="3" a="1"/>
  <c r="N2065" i="3"/>
  <c r="M2065" i="3"/>
  <c r="O2064" i="3" a="1"/>
  <c r="O2064" i="3" s="1"/>
  <c r="N2064" i="3"/>
  <c r="M2064" i="3"/>
  <c r="O2063" i="3" a="1"/>
  <c r="O2063" i="3" s="1"/>
  <c r="N2063" i="3"/>
  <c r="M2063" i="3"/>
  <c r="O2062" i="3" a="1"/>
  <c r="O2062" i="3" s="1"/>
  <c r="N2062" i="3"/>
  <c r="M2062" i="3"/>
  <c r="O2061" i="3"/>
  <c r="O2061" i="3" a="1"/>
  <c r="N2061" i="3"/>
  <c r="M2061" i="3"/>
  <c r="O2060" i="3"/>
  <c r="O2060" i="3" a="1"/>
  <c r="N2060" i="3"/>
  <c r="M2060" i="3"/>
  <c r="O2059" i="3"/>
  <c r="O2059" i="3" a="1"/>
  <c r="N2059" i="3"/>
  <c r="M2059" i="3"/>
  <c r="O2058" i="3"/>
  <c r="O2058" i="3" a="1"/>
  <c r="N2058" i="3"/>
  <c r="M2058" i="3"/>
  <c r="O2057" i="3"/>
  <c r="O2057" i="3" a="1"/>
  <c r="N2057" i="3"/>
  <c r="M2057" i="3"/>
  <c r="O2056" i="3"/>
  <c r="O2056" i="3" a="1"/>
  <c r="N2056" i="3"/>
  <c r="M2056" i="3"/>
  <c r="O2055" i="3"/>
  <c r="O2055" i="3" a="1"/>
  <c r="N2055" i="3"/>
  <c r="M2055" i="3"/>
  <c r="O2054" i="3"/>
  <c r="O2054" i="3" a="1"/>
  <c r="N2054" i="3"/>
  <c r="M2054" i="3"/>
  <c r="O2053" i="3"/>
  <c r="O2053" i="3" a="1"/>
  <c r="N2053" i="3"/>
  <c r="M2053" i="3"/>
  <c r="O2052" i="3"/>
  <c r="O2052" i="3" a="1"/>
  <c r="N2052" i="3"/>
  <c r="M2052" i="3"/>
  <c r="O2051" i="3"/>
  <c r="O2051" i="3" a="1"/>
  <c r="N2051" i="3"/>
  <c r="M2051" i="3"/>
  <c r="O2050" i="3"/>
  <c r="O2050" i="3" a="1"/>
  <c r="N2050" i="3"/>
  <c r="M2050" i="3"/>
  <c r="O2049" i="3"/>
  <c r="O2049" i="3" a="1"/>
  <c r="N2049" i="3"/>
  <c r="M2049" i="3"/>
  <c r="O2048" i="3"/>
  <c r="O2048" i="3" a="1"/>
  <c r="N2048" i="3"/>
  <c r="M2048" i="3"/>
  <c r="O2047" i="3"/>
  <c r="O2047" i="3" a="1"/>
  <c r="N2047" i="3"/>
  <c r="M2047" i="3"/>
  <c r="O2046" i="3"/>
  <c r="O2046" i="3" a="1"/>
  <c r="N2046" i="3"/>
  <c r="M2046" i="3"/>
  <c r="O2045" i="3"/>
  <c r="O2045" i="3" a="1"/>
  <c r="N2045" i="3"/>
  <c r="M2045" i="3"/>
  <c r="O2044" i="3"/>
  <c r="O2044" i="3" a="1"/>
  <c r="N2044" i="3"/>
  <c r="M2044" i="3"/>
  <c r="O2043" i="3"/>
  <c r="O2043" i="3" a="1"/>
  <c r="N2043" i="3"/>
  <c r="M2043" i="3"/>
  <c r="O2042" i="3"/>
  <c r="O2042" i="3" a="1"/>
  <c r="N2042" i="3"/>
  <c r="M2042" i="3"/>
  <c r="O2041" i="3"/>
  <c r="O2041" i="3" a="1"/>
  <c r="N2041" i="3"/>
  <c r="M2041" i="3"/>
  <c r="O2040" i="3"/>
  <c r="O2040" i="3" a="1"/>
  <c r="N2040" i="3"/>
  <c r="M2040" i="3"/>
  <c r="O2039" i="3"/>
  <c r="O2039" i="3" a="1"/>
  <c r="N2039" i="3"/>
  <c r="M2039" i="3"/>
  <c r="O2038" i="3"/>
  <c r="O2038" i="3" a="1"/>
  <c r="N2038" i="3"/>
  <c r="M2038" i="3"/>
  <c r="O2037" i="3"/>
  <c r="O2037" i="3" a="1"/>
  <c r="N2037" i="3"/>
  <c r="M2037" i="3"/>
  <c r="O2036" i="3"/>
  <c r="O2036" i="3" a="1"/>
  <c r="N2036" i="3"/>
  <c r="M2036" i="3"/>
  <c r="O2035" i="3"/>
  <c r="O2035" i="3" a="1"/>
  <c r="N2035" i="3"/>
  <c r="M2035" i="3"/>
  <c r="O2034" i="3"/>
  <c r="O2034" i="3" a="1"/>
  <c r="N2034" i="3"/>
  <c r="M2034" i="3"/>
  <c r="O2033" i="3"/>
  <c r="O2033" i="3" a="1"/>
  <c r="N2033" i="3"/>
  <c r="M2033" i="3"/>
  <c r="O2032" i="3"/>
  <c r="O2032" i="3" a="1"/>
  <c r="N2032" i="3"/>
  <c r="M2032" i="3"/>
  <c r="O2031" i="3"/>
  <c r="O2031" i="3" a="1"/>
  <c r="N2031" i="3"/>
  <c r="M2031" i="3"/>
  <c r="O2030" i="3"/>
  <c r="O2030" i="3" a="1"/>
  <c r="N2030" i="3"/>
  <c r="M2030" i="3"/>
  <c r="O2029" i="3"/>
  <c r="O2029" i="3" a="1"/>
  <c r="N2029" i="3"/>
  <c r="M2029" i="3"/>
  <c r="O2028" i="3"/>
  <c r="O2028" i="3" a="1"/>
  <c r="N2028" i="3"/>
  <c r="M2028" i="3"/>
  <c r="O2027" i="3"/>
  <c r="O2027" i="3" a="1"/>
  <c r="N2027" i="3"/>
  <c r="M2027" i="3"/>
  <c r="O2026" i="3"/>
  <c r="O2026" i="3" a="1"/>
  <c r="N2026" i="3"/>
  <c r="M2026" i="3"/>
  <c r="O2025" i="3"/>
  <c r="O2025" i="3" a="1"/>
  <c r="N2025" i="3"/>
  <c r="M2025" i="3"/>
  <c r="O2024" i="3"/>
  <c r="O2024" i="3" a="1"/>
  <c r="N2024" i="3"/>
  <c r="M2024" i="3"/>
  <c r="O2023" i="3"/>
  <c r="O2023" i="3" a="1"/>
  <c r="N2023" i="3"/>
  <c r="M2023" i="3"/>
  <c r="O2022" i="3"/>
  <c r="O2022" i="3" a="1"/>
  <c r="N2022" i="3"/>
  <c r="M2022" i="3"/>
  <c r="O2021" i="3"/>
  <c r="O2021" i="3" a="1"/>
  <c r="N2021" i="3"/>
  <c r="M2021" i="3"/>
  <c r="O2020" i="3"/>
  <c r="O2020" i="3" a="1"/>
  <c r="N2020" i="3"/>
  <c r="M2020" i="3"/>
  <c r="O2019" i="3"/>
  <c r="O2019" i="3" a="1"/>
  <c r="N2019" i="3"/>
  <c r="M2019" i="3"/>
  <c r="O2018" i="3"/>
  <c r="O2018" i="3" a="1"/>
  <c r="N2018" i="3"/>
  <c r="M2018" i="3"/>
  <c r="O2017" i="3"/>
  <c r="O2017" i="3" a="1"/>
  <c r="N2017" i="3"/>
  <c r="M2017" i="3"/>
  <c r="O2016" i="3"/>
  <c r="O2016" i="3" a="1"/>
  <c r="N2016" i="3"/>
  <c r="M2016" i="3"/>
  <c r="O2015" i="3" a="1"/>
  <c r="O2015" i="3" s="1"/>
  <c r="N2015" i="3"/>
  <c r="M2015" i="3"/>
  <c r="O2014" i="3" a="1"/>
  <c r="O2014" i="3" s="1"/>
  <c r="N2014" i="3"/>
  <c r="M2014" i="3"/>
  <c r="O2013" i="3" a="1"/>
  <c r="O2013" i="3" s="1"/>
  <c r="N2013" i="3"/>
  <c r="M2013" i="3"/>
  <c r="O2012" i="3" a="1"/>
  <c r="O2012" i="3" s="1"/>
  <c r="N2012" i="3"/>
  <c r="M2012" i="3"/>
  <c r="O2011" i="3" a="1"/>
  <c r="O2011" i="3" s="1"/>
  <c r="N2011" i="3"/>
  <c r="M2011" i="3"/>
  <c r="O2010" i="3"/>
  <c r="O2010" i="3" a="1"/>
  <c r="N2010" i="3"/>
  <c r="M2010" i="3"/>
  <c r="O2009" i="3" a="1"/>
  <c r="O2009" i="3" s="1"/>
  <c r="N2009" i="3"/>
  <c r="M2009" i="3"/>
  <c r="O2008" i="3" a="1"/>
  <c r="O2008" i="3" s="1"/>
  <c r="N2008" i="3"/>
  <c r="M2008" i="3"/>
  <c r="O2007" i="3" a="1"/>
  <c r="O2007" i="3" s="1"/>
  <c r="N2007" i="3"/>
  <c r="M2007" i="3"/>
  <c r="O2006" i="3"/>
  <c r="O2006" i="3" a="1"/>
  <c r="N2006" i="3"/>
  <c r="M2006" i="3"/>
  <c r="O2005" i="3" a="1"/>
  <c r="O2005" i="3" s="1"/>
  <c r="N2005" i="3"/>
  <c r="M2005" i="3"/>
  <c r="O2004" i="3"/>
  <c r="O2004" i="3" a="1"/>
  <c r="N2004" i="3"/>
  <c r="M2004" i="3"/>
  <c r="O2003" i="3" a="1"/>
  <c r="O2003" i="3" s="1"/>
  <c r="N2003" i="3"/>
  <c r="M2003" i="3"/>
  <c r="O2002" i="3" a="1"/>
  <c r="O2002" i="3" s="1"/>
  <c r="N2002" i="3"/>
  <c r="M2002" i="3"/>
  <c r="O2001" i="3" a="1"/>
  <c r="O2001" i="3" s="1"/>
  <c r="N2001" i="3"/>
  <c r="M2001" i="3"/>
  <c r="O2000" i="3"/>
  <c r="O2000" i="3" a="1"/>
  <c r="N2000" i="3"/>
  <c r="M2000" i="3"/>
  <c r="O1999" i="3" a="1"/>
  <c r="O1999" i="3" s="1"/>
  <c r="N1999" i="3"/>
  <c r="M1999" i="3"/>
  <c r="O1998" i="3"/>
  <c r="O1998" i="3" a="1"/>
  <c r="N1998" i="3"/>
  <c r="M1998" i="3"/>
  <c r="O1997" i="3" a="1"/>
  <c r="O1997" i="3" s="1"/>
  <c r="N1997" i="3"/>
  <c r="M1997" i="3"/>
  <c r="O1996" i="3" a="1"/>
  <c r="O1996" i="3" s="1"/>
  <c r="N1996" i="3"/>
  <c r="M1996" i="3"/>
  <c r="O1995" i="3" a="1"/>
  <c r="O1995" i="3" s="1"/>
  <c r="N1995" i="3"/>
  <c r="M1995" i="3"/>
  <c r="O1994" i="3"/>
  <c r="O1994" i="3" a="1"/>
  <c r="N1994" i="3"/>
  <c r="M1994" i="3"/>
  <c r="O1993" i="3" a="1"/>
  <c r="O1993" i="3" s="1"/>
  <c r="N1993" i="3"/>
  <c r="M1993" i="3"/>
  <c r="O1992" i="3" a="1"/>
  <c r="O1992" i="3" s="1"/>
  <c r="N1992" i="3"/>
  <c r="M1992" i="3"/>
  <c r="O1991" i="3" a="1"/>
  <c r="O1991" i="3" s="1"/>
  <c r="N1991" i="3"/>
  <c r="M1991" i="3"/>
  <c r="O1990" i="3"/>
  <c r="O1990" i="3" a="1"/>
  <c r="N1990" i="3"/>
  <c r="M1990" i="3"/>
  <c r="O1989" i="3" a="1"/>
  <c r="O1989" i="3" s="1"/>
  <c r="N1989" i="3"/>
  <c r="M1989" i="3"/>
  <c r="O1988" i="3"/>
  <c r="O1988" i="3" a="1"/>
  <c r="N1988" i="3"/>
  <c r="M1988" i="3"/>
  <c r="O1987" i="3" a="1"/>
  <c r="O1987" i="3" s="1"/>
  <c r="N1987" i="3"/>
  <c r="M1987" i="3"/>
  <c r="O1986" i="3" a="1"/>
  <c r="O1986" i="3" s="1"/>
  <c r="N1986" i="3"/>
  <c r="M1986" i="3"/>
  <c r="O1985" i="3" a="1"/>
  <c r="O1985" i="3" s="1"/>
  <c r="N1985" i="3"/>
  <c r="M1985" i="3"/>
  <c r="O1984" i="3"/>
  <c r="O1984" i="3" a="1"/>
  <c r="N1984" i="3"/>
  <c r="M1984" i="3"/>
  <c r="O1983" i="3" a="1"/>
  <c r="O1983" i="3" s="1"/>
  <c r="N1983" i="3"/>
  <c r="M1983" i="3"/>
  <c r="O1982" i="3" a="1"/>
  <c r="O1982" i="3" s="1"/>
  <c r="N1982" i="3"/>
  <c r="M1982" i="3"/>
  <c r="O1981" i="3" a="1"/>
  <c r="O1981" i="3" s="1"/>
  <c r="N1981" i="3"/>
  <c r="M1981" i="3"/>
  <c r="O1980" i="3" a="1"/>
  <c r="O1980" i="3" s="1"/>
  <c r="N1980" i="3"/>
  <c r="M1980" i="3"/>
  <c r="O1979" i="3" a="1"/>
  <c r="O1979" i="3" s="1"/>
  <c r="N1979" i="3"/>
  <c r="M1979" i="3"/>
  <c r="O1978" i="3"/>
  <c r="O1978" i="3" a="1"/>
  <c r="N1978" i="3"/>
  <c r="M1978" i="3"/>
  <c r="O1977" i="3" a="1"/>
  <c r="O1977" i="3" s="1"/>
  <c r="N1977" i="3"/>
  <c r="M1977" i="3"/>
  <c r="O1976" i="3" a="1"/>
  <c r="O1976" i="3" s="1"/>
  <c r="N1976" i="3"/>
  <c r="M1976" i="3"/>
  <c r="O1975" i="3" a="1"/>
  <c r="O1975" i="3" s="1"/>
  <c r="N1975" i="3"/>
  <c r="M1975" i="3"/>
  <c r="O1974" i="3"/>
  <c r="O1974" i="3" a="1"/>
  <c r="N1974" i="3"/>
  <c r="M1974" i="3"/>
  <c r="O1973" i="3" a="1"/>
  <c r="O1973" i="3" s="1"/>
  <c r="N1973" i="3"/>
  <c r="M1973" i="3"/>
  <c r="O1972" i="3"/>
  <c r="O1972" i="3" a="1"/>
  <c r="N1972" i="3"/>
  <c r="M1972" i="3"/>
  <c r="O1971" i="3" a="1"/>
  <c r="O1971" i="3" s="1"/>
  <c r="N1971" i="3"/>
  <c r="M1971" i="3"/>
  <c r="O1970" i="3" a="1"/>
  <c r="O1970" i="3" s="1"/>
  <c r="N1970" i="3"/>
  <c r="M1970" i="3"/>
  <c r="O1969" i="3" a="1"/>
  <c r="O1969" i="3" s="1"/>
  <c r="N1969" i="3"/>
  <c r="M1969" i="3"/>
  <c r="O1968" i="3"/>
  <c r="O1968" i="3" a="1"/>
  <c r="N1968" i="3"/>
  <c r="M1968" i="3"/>
  <c r="O1967" i="3" a="1"/>
  <c r="O1967" i="3" s="1"/>
  <c r="N1967" i="3"/>
  <c r="M1967" i="3"/>
  <c r="O1966" i="3" a="1"/>
  <c r="O1966" i="3" s="1"/>
  <c r="N1966" i="3"/>
  <c r="M1966" i="3"/>
  <c r="O1965" i="3" a="1"/>
  <c r="O1965" i="3" s="1"/>
  <c r="N1965" i="3"/>
  <c r="M1965" i="3"/>
  <c r="O1964" i="3" a="1"/>
  <c r="O1964" i="3" s="1"/>
  <c r="N1964" i="3"/>
  <c r="M1964" i="3"/>
  <c r="O1963" i="3" a="1"/>
  <c r="O1963" i="3" s="1"/>
  <c r="N1963" i="3"/>
  <c r="M1963" i="3"/>
  <c r="O1962" i="3"/>
  <c r="O1962" i="3" a="1"/>
  <c r="N1962" i="3"/>
  <c r="M1962" i="3"/>
  <c r="O1961" i="3" a="1"/>
  <c r="O1961" i="3" s="1"/>
  <c r="N1961" i="3"/>
  <c r="M1961" i="3"/>
  <c r="O1960" i="3" a="1"/>
  <c r="O1960" i="3" s="1"/>
  <c r="N1960" i="3"/>
  <c r="M1960" i="3"/>
  <c r="O1959" i="3" a="1"/>
  <c r="O1959" i="3" s="1"/>
  <c r="N1959" i="3"/>
  <c r="M1959" i="3"/>
  <c r="O1958" i="3"/>
  <c r="O1958" i="3" a="1"/>
  <c r="N1958" i="3"/>
  <c r="M1958" i="3"/>
  <c r="O1957" i="3" a="1"/>
  <c r="O1957" i="3" s="1"/>
  <c r="N1957" i="3"/>
  <c r="M1957" i="3"/>
  <c r="O1956" i="3"/>
  <c r="O1956" i="3" a="1"/>
  <c r="N1956" i="3"/>
  <c r="M1956" i="3"/>
  <c r="O1955" i="3" a="1"/>
  <c r="O1955" i="3" s="1"/>
  <c r="N1955" i="3"/>
  <c r="M1955" i="3"/>
  <c r="O1954" i="3" a="1"/>
  <c r="O1954" i="3" s="1"/>
  <c r="N1954" i="3"/>
  <c r="M1954" i="3"/>
  <c r="O1953" i="3" a="1"/>
  <c r="O1953" i="3" s="1"/>
  <c r="N1953" i="3"/>
  <c r="M1953" i="3"/>
  <c r="O1952" i="3"/>
  <c r="O1952" i="3" a="1"/>
  <c r="N1952" i="3"/>
  <c r="M1952" i="3"/>
  <c r="O1951" i="3" a="1"/>
  <c r="O1951" i="3" s="1"/>
  <c r="N1951" i="3"/>
  <c r="M1951" i="3"/>
  <c r="O1950" i="3" a="1"/>
  <c r="O1950" i="3" s="1"/>
  <c r="N1950" i="3"/>
  <c r="M1950" i="3"/>
  <c r="O1949" i="3" a="1"/>
  <c r="O1949" i="3" s="1"/>
  <c r="N1949" i="3"/>
  <c r="M1949" i="3"/>
  <c r="O1948" i="3" a="1"/>
  <c r="O1948" i="3" s="1"/>
  <c r="N1948" i="3"/>
  <c r="M1948" i="3"/>
  <c r="O1947" i="3" a="1"/>
  <c r="O1947" i="3" s="1"/>
  <c r="N1947" i="3"/>
  <c r="M1947" i="3"/>
  <c r="O1946" i="3"/>
  <c r="O1946" i="3" a="1"/>
  <c r="N1946" i="3"/>
  <c r="M1946" i="3"/>
  <c r="O1945" i="3" a="1"/>
  <c r="O1945" i="3" s="1"/>
  <c r="N1945" i="3"/>
  <c r="M1945" i="3"/>
  <c r="O1944" i="3" a="1"/>
  <c r="O1944" i="3" s="1"/>
  <c r="N1944" i="3"/>
  <c r="M1944" i="3"/>
  <c r="O1943" i="3" a="1"/>
  <c r="O1943" i="3" s="1"/>
  <c r="N1943" i="3"/>
  <c r="M1943" i="3"/>
  <c r="O1942" i="3"/>
  <c r="O1942" i="3" a="1"/>
  <c r="N1942" i="3"/>
  <c r="M1942" i="3"/>
  <c r="O1941" i="3" a="1"/>
  <c r="O1941" i="3" s="1"/>
  <c r="N1941" i="3"/>
  <c r="M1941" i="3"/>
  <c r="O1940" i="3"/>
  <c r="O1940" i="3" a="1"/>
  <c r="N1940" i="3"/>
  <c r="M1940" i="3"/>
  <c r="O1939" i="3" a="1"/>
  <c r="O1939" i="3" s="1"/>
  <c r="N1939" i="3"/>
  <c r="M1939" i="3"/>
  <c r="O1938" i="3" a="1"/>
  <c r="O1938" i="3" s="1"/>
  <c r="N1938" i="3"/>
  <c r="M1938" i="3"/>
  <c r="O1937" i="3" a="1"/>
  <c r="O1937" i="3" s="1"/>
  <c r="N1937" i="3"/>
  <c r="M1937" i="3"/>
  <c r="O1936" i="3"/>
  <c r="O1936" i="3" a="1"/>
  <c r="N1936" i="3"/>
  <c r="M1936" i="3"/>
  <c r="O1935" i="3" a="1"/>
  <c r="O1935" i="3" s="1"/>
  <c r="N1935" i="3"/>
  <c r="M1935" i="3"/>
  <c r="O1934" i="3"/>
  <c r="O1934" i="3" a="1"/>
  <c r="N1934" i="3"/>
  <c r="M1934" i="3"/>
  <c r="O1933" i="3" a="1"/>
  <c r="O1933" i="3" s="1"/>
  <c r="N1933" i="3"/>
  <c r="M1933" i="3"/>
  <c r="O1932" i="3" a="1"/>
  <c r="O1932" i="3" s="1"/>
  <c r="N1932" i="3"/>
  <c r="M1932" i="3"/>
  <c r="O1931" i="3" a="1"/>
  <c r="O1931" i="3" s="1"/>
  <c r="N1931" i="3"/>
  <c r="M1931" i="3"/>
  <c r="O1930" i="3"/>
  <c r="O1930" i="3" a="1"/>
  <c r="N1930" i="3"/>
  <c r="M1930" i="3"/>
  <c r="O1929" i="3" a="1"/>
  <c r="O1929" i="3" s="1"/>
  <c r="N1929" i="3"/>
  <c r="M1929" i="3"/>
  <c r="O1928" i="3" a="1"/>
  <c r="O1928" i="3" s="1"/>
  <c r="N1928" i="3"/>
  <c r="M1928" i="3"/>
  <c r="O1927" i="3" a="1"/>
  <c r="O1927" i="3" s="1"/>
  <c r="N1927" i="3"/>
  <c r="M1927" i="3"/>
  <c r="O1926" i="3"/>
  <c r="O1926" i="3" a="1"/>
  <c r="N1926" i="3"/>
  <c r="M1926" i="3"/>
  <c r="O1925" i="3" a="1"/>
  <c r="O1925" i="3" s="1"/>
  <c r="N1925" i="3"/>
  <c r="M1925" i="3"/>
  <c r="O1924" i="3"/>
  <c r="O1924" i="3" a="1"/>
  <c r="N1924" i="3"/>
  <c r="M1924" i="3"/>
  <c r="O1923" i="3" a="1"/>
  <c r="O1923" i="3" s="1"/>
  <c r="N1923" i="3"/>
  <c r="M1923" i="3"/>
  <c r="O1922" i="3" a="1"/>
  <c r="O1922" i="3" s="1"/>
  <c r="N1922" i="3"/>
  <c r="M1922" i="3"/>
  <c r="O1921" i="3" a="1"/>
  <c r="O1921" i="3" s="1"/>
  <c r="N1921" i="3"/>
  <c r="M1921" i="3"/>
  <c r="O1920" i="3"/>
  <c r="O1920" i="3" a="1"/>
  <c r="N1920" i="3"/>
  <c r="M1920" i="3"/>
  <c r="O1919" i="3" a="1"/>
  <c r="O1919" i="3" s="1"/>
  <c r="N1919" i="3"/>
  <c r="M1919" i="3"/>
  <c r="O1918" i="3" a="1"/>
  <c r="O1918" i="3" s="1"/>
  <c r="N1918" i="3"/>
  <c r="M1918" i="3"/>
  <c r="O1917" i="3" a="1"/>
  <c r="O1917" i="3" s="1"/>
  <c r="N1917" i="3"/>
  <c r="M1917" i="3"/>
  <c r="O1916" i="3" a="1"/>
  <c r="O1916" i="3" s="1"/>
  <c r="N1916" i="3"/>
  <c r="M1916" i="3"/>
  <c r="O1915" i="3" a="1"/>
  <c r="O1915" i="3" s="1"/>
  <c r="N1915" i="3"/>
  <c r="M1915" i="3"/>
  <c r="O1914" i="3"/>
  <c r="O1914" i="3" a="1"/>
  <c r="N1914" i="3"/>
  <c r="M1914" i="3"/>
  <c r="O1913" i="3" a="1"/>
  <c r="O1913" i="3" s="1"/>
  <c r="N1913" i="3"/>
  <c r="M1913" i="3"/>
  <c r="O1912" i="3" a="1"/>
  <c r="O1912" i="3" s="1"/>
  <c r="N1912" i="3"/>
  <c r="M1912" i="3"/>
  <c r="O1911" i="3" a="1"/>
  <c r="O1911" i="3" s="1"/>
  <c r="N1911" i="3"/>
  <c r="M1911" i="3"/>
  <c r="O1910" i="3"/>
  <c r="O1910" i="3" a="1"/>
  <c r="N1910" i="3"/>
  <c r="M1910" i="3"/>
  <c r="O1909" i="3" a="1"/>
  <c r="O1909" i="3" s="1"/>
  <c r="N1909" i="3"/>
  <c r="M1909" i="3"/>
  <c r="O1908" i="3"/>
  <c r="O1908" i="3" a="1"/>
  <c r="N1908" i="3"/>
  <c r="M1908" i="3"/>
  <c r="O1907" i="3" a="1"/>
  <c r="O1907" i="3" s="1"/>
  <c r="N1907" i="3"/>
  <c r="M1907" i="3"/>
  <c r="O1906" i="3" a="1"/>
  <c r="O1906" i="3" s="1"/>
  <c r="N1906" i="3"/>
  <c r="M1906" i="3"/>
  <c r="O1905" i="3" a="1"/>
  <c r="O1905" i="3" s="1"/>
  <c r="N1905" i="3"/>
  <c r="M1905" i="3"/>
  <c r="O1904" i="3"/>
  <c r="O1904" i="3" a="1"/>
  <c r="N1904" i="3"/>
  <c r="M1904" i="3"/>
  <c r="O1903" i="3" a="1"/>
  <c r="O1903" i="3" s="1"/>
  <c r="N1903" i="3"/>
  <c r="M1903" i="3"/>
  <c r="O1902" i="3"/>
  <c r="O1902" i="3" a="1"/>
  <c r="N1902" i="3"/>
  <c r="M1902" i="3"/>
  <c r="O1901" i="3" a="1"/>
  <c r="O1901" i="3" s="1"/>
  <c r="N1901" i="3"/>
  <c r="M1901" i="3"/>
  <c r="O1900" i="3" a="1"/>
  <c r="O1900" i="3" s="1"/>
  <c r="N1900" i="3"/>
  <c r="M1900" i="3"/>
  <c r="O1899" i="3" a="1"/>
  <c r="O1899" i="3" s="1"/>
  <c r="N1899" i="3"/>
  <c r="M1899" i="3"/>
  <c r="O1898" i="3"/>
  <c r="O1898" i="3" a="1"/>
  <c r="N1898" i="3"/>
  <c r="M1898" i="3"/>
  <c r="O1897" i="3" a="1"/>
  <c r="O1897" i="3" s="1"/>
  <c r="N1897" i="3"/>
  <c r="M1897" i="3"/>
  <c r="O1896" i="3" a="1"/>
  <c r="O1896" i="3" s="1"/>
  <c r="N1896" i="3"/>
  <c r="M1896" i="3"/>
  <c r="O1895" i="3" a="1"/>
  <c r="O1895" i="3" s="1"/>
  <c r="N1895" i="3"/>
  <c r="M1895" i="3"/>
  <c r="O1894" i="3"/>
  <c r="O1894" i="3" a="1"/>
  <c r="N1894" i="3"/>
  <c r="M1894" i="3"/>
  <c r="O1893" i="3" a="1"/>
  <c r="O1893" i="3" s="1"/>
  <c r="N1893" i="3"/>
  <c r="M1893" i="3"/>
  <c r="O1892" i="3"/>
  <c r="O1892" i="3" a="1"/>
  <c r="N1892" i="3"/>
  <c r="M1892" i="3"/>
  <c r="O1891" i="3" a="1"/>
  <c r="O1891" i="3" s="1"/>
  <c r="N1891" i="3"/>
  <c r="M1891" i="3"/>
  <c r="O1890" i="3" a="1"/>
  <c r="O1890" i="3" s="1"/>
  <c r="N1890" i="3"/>
  <c r="M1890" i="3"/>
  <c r="O1889" i="3" a="1"/>
  <c r="O1889" i="3" s="1"/>
  <c r="N1889" i="3"/>
  <c r="M1889" i="3"/>
  <c r="O1888" i="3"/>
  <c r="O1888" i="3" a="1"/>
  <c r="N1888" i="3"/>
  <c r="M1888" i="3"/>
  <c r="O1887" i="3" a="1"/>
  <c r="O1887" i="3" s="1"/>
  <c r="N1887" i="3"/>
  <c r="M1887" i="3"/>
  <c r="O1886" i="3" a="1"/>
  <c r="O1886" i="3" s="1"/>
  <c r="N1886" i="3"/>
  <c r="M1886" i="3"/>
  <c r="O1885" i="3" a="1"/>
  <c r="O1885" i="3" s="1"/>
  <c r="N1885" i="3"/>
  <c r="M1885" i="3"/>
  <c r="O1884" i="3" a="1"/>
  <c r="O1884" i="3" s="1"/>
  <c r="N1884" i="3"/>
  <c r="M1884" i="3"/>
  <c r="O1883" i="3" a="1"/>
  <c r="O1883" i="3" s="1"/>
  <c r="N1883" i="3"/>
  <c r="M1883" i="3"/>
  <c r="O1882" i="3"/>
  <c r="O1882" i="3" a="1"/>
  <c r="N1882" i="3"/>
  <c r="M1882" i="3"/>
  <c r="O1881" i="3" a="1"/>
  <c r="O1881" i="3" s="1"/>
  <c r="N1881" i="3"/>
  <c r="M1881" i="3"/>
  <c r="O1880" i="3" a="1"/>
  <c r="O1880" i="3" s="1"/>
  <c r="N1880" i="3"/>
  <c r="M1880" i="3"/>
  <c r="O1879" i="3" a="1"/>
  <c r="O1879" i="3" s="1"/>
  <c r="N1879" i="3"/>
  <c r="M1879" i="3"/>
  <c r="O1878" i="3"/>
  <c r="O1878" i="3" a="1"/>
  <c r="N1878" i="3"/>
  <c r="M1878" i="3"/>
  <c r="O1877" i="3" a="1"/>
  <c r="O1877" i="3" s="1"/>
  <c r="N1877" i="3"/>
  <c r="M1877" i="3"/>
  <c r="O1876" i="3"/>
  <c r="O1876" i="3" a="1"/>
  <c r="N1876" i="3"/>
  <c r="M1876" i="3"/>
  <c r="O1875" i="3" a="1"/>
  <c r="O1875" i="3" s="1"/>
  <c r="N1875" i="3"/>
  <c r="M1875" i="3"/>
  <c r="O1874" i="3" a="1"/>
  <c r="O1874" i="3" s="1"/>
  <c r="N1874" i="3"/>
  <c r="M1874" i="3"/>
  <c r="O1873" i="3" a="1"/>
  <c r="O1873" i="3" s="1"/>
  <c r="N1873" i="3"/>
  <c r="M1873" i="3"/>
  <c r="O1872" i="3"/>
  <c r="O1872" i="3" a="1"/>
  <c r="N1872" i="3"/>
  <c r="M1872" i="3"/>
  <c r="O1871" i="3" a="1"/>
  <c r="O1871" i="3" s="1"/>
  <c r="N1871" i="3"/>
  <c r="M1871" i="3"/>
  <c r="O1870" i="3"/>
  <c r="O1870" i="3" a="1"/>
  <c r="N1870" i="3"/>
  <c r="M1870" i="3"/>
  <c r="O1869" i="3" a="1"/>
  <c r="O1869" i="3" s="1"/>
  <c r="N1869" i="3"/>
  <c r="M1869" i="3"/>
  <c r="O1868" i="3" a="1"/>
  <c r="O1868" i="3" s="1"/>
  <c r="N1868" i="3"/>
  <c r="M1868" i="3"/>
  <c r="O1867" i="3" a="1"/>
  <c r="O1867" i="3" s="1"/>
  <c r="N1867" i="3"/>
  <c r="M1867" i="3"/>
  <c r="O1866" i="3"/>
  <c r="O1866" i="3" a="1"/>
  <c r="N1866" i="3"/>
  <c r="M1866" i="3"/>
  <c r="O1865" i="3" a="1"/>
  <c r="O1865" i="3" s="1"/>
  <c r="N1865" i="3"/>
  <c r="M1865" i="3"/>
  <c r="O1864" i="3" a="1"/>
  <c r="O1864" i="3" s="1"/>
  <c r="N1864" i="3"/>
  <c r="M1864" i="3"/>
  <c r="O1863" i="3" a="1"/>
  <c r="O1863" i="3" s="1"/>
  <c r="N1863" i="3"/>
  <c r="M1863" i="3"/>
  <c r="O1862" i="3"/>
  <c r="O1862" i="3" a="1"/>
  <c r="N1862" i="3"/>
  <c r="M1862" i="3"/>
  <c r="O1861" i="3" a="1"/>
  <c r="O1861" i="3" s="1"/>
  <c r="N1861" i="3"/>
  <c r="M1861" i="3"/>
  <c r="O1860" i="3"/>
  <c r="O1860" i="3" a="1"/>
  <c r="N1860" i="3"/>
  <c r="M1860" i="3"/>
  <c r="O1859" i="3" a="1"/>
  <c r="O1859" i="3" s="1"/>
  <c r="N1859" i="3"/>
  <c r="M1859" i="3"/>
  <c r="O1858" i="3"/>
  <c r="O1858" i="3" a="1"/>
  <c r="N1858" i="3"/>
  <c r="M1858" i="3"/>
  <c r="O1857" i="3" a="1"/>
  <c r="O1857" i="3" s="1"/>
  <c r="N1857" i="3"/>
  <c r="M1857" i="3"/>
  <c r="O1856" i="3" a="1"/>
  <c r="O1856" i="3" s="1"/>
  <c r="N1856" i="3"/>
  <c r="M1856" i="3"/>
  <c r="O1855" i="3" a="1"/>
  <c r="O1855" i="3" s="1"/>
  <c r="N1855" i="3"/>
  <c r="M1855" i="3"/>
  <c r="O1854" i="3"/>
  <c r="O1854" i="3" a="1"/>
  <c r="N1854" i="3"/>
  <c r="M1854" i="3"/>
  <c r="O1853" i="3" a="1"/>
  <c r="O1853" i="3" s="1"/>
  <c r="N1853" i="3"/>
  <c r="M1853" i="3"/>
  <c r="O1852" i="3" a="1"/>
  <c r="O1852" i="3" s="1"/>
  <c r="N1852" i="3"/>
  <c r="M1852" i="3"/>
  <c r="O1851" i="3" a="1"/>
  <c r="O1851" i="3" s="1"/>
  <c r="N1851" i="3"/>
  <c r="M1851" i="3"/>
  <c r="O1850" i="3"/>
  <c r="O1850" i="3" a="1"/>
  <c r="N1850" i="3"/>
  <c r="M1850" i="3"/>
  <c r="O1849" i="3" a="1"/>
  <c r="O1849" i="3" s="1"/>
  <c r="N1849" i="3"/>
  <c r="M1849" i="3"/>
  <c r="O1848" i="3" a="1"/>
  <c r="O1848" i="3" s="1"/>
  <c r="N1848" i="3"/>
  <c r="M1848" i="3"/>
  <c r="O1847" i="3" a="1"/>
  <c r="O1847" i="3" s="1"/>
  <c r="N1847" i="3"/>
  <c r="M1847" i="3"/>
  <c r="O1846" i="3"/>
  <c r="O1846" i="3" a="1"/>
  <c r="N1846" i="3"/>
  <c r="M1846" i="3"/>
  <c r="O1845" i="3"/>
  <c r="O1845" i="3" a="1"/>
  <c r="N1845" i="3"/>
  <c r="M1845" i="3"/>
  <c r="O1844" i="3"/>
  <c r="O1844" i="3" a="1"/>
  <c r="N1844" i="3"/>
  <c r="M1844" i="3"/>
  <c r="O1843" i="3"/>
  <c r="O1843" i="3" a="1"/>
  <c r="N1843" i="3"/>
  <c r="M1843" i="3"/>
  <c r="O1842" i="3"/>
  <c r="O1842" i="3" a="1"/>
  <c r="N1842" i="3"/>
  <c r="M1842" i="3"/>
  <c r="O1841" i="3"/>
  <c r="O1841" i="3" a="1"/>
  <c r="N1841" i="3"/>
  <c r="M1841" i="3"/>
  <c r="O1840" i="3"/>
  <c r="O1840" i="3" a="1"/>
  <c r="N1840" i="3"/>
  <c r="M1840" i="3"/>
  <c r="O1839" i="3"/>
  <c r="O1839" i="3" a="1"/>
  <c r="N1839" i="3"/>
  <c r="M1839" i="3"/>
  <c r="O1838" i="3"/>
  <c r="O1838" i="3" a="1"/>
  <c r="N1838" i="3"/>
  <c r="M1838" i="3"/>
  <c r="O1837" i="3"/>
  <c r="O1837" i="3" a="1"/>
  <c r="N1837" i="3"/>
  <c r="M1837" i="3"/>
  <c r="O1836" i="3"/>
  <c r="O1836" i="3" a="1"/>
  <c r="N1836" i="3"/>
  <c r="M1836" i="3"/>
  <c r="O1835" i="3"/>
  <c r="O1835" i="3" a="1"/>
  <c r="N1835" i="3"/>
  <c r="M1835" i="3"/>
  <c r="O1834" i="3"/>
  <c r="O1834" i="3" a="1"/>
  <c r="N1834" i="3"/>
  <c r="M1834" i="3"/>
  <c r="O1833" i="3"/>
  <c r="O1833" i="3" a="1"/>
  <c r="N1833" i="3"/>
  <c r="M1833" i="3"/>
  <c r="O1832" i="3"/>
  <c r="O1832" i="3" a="1"/>
  <c r="N1832" i="3"/>
  <c r="M1832" i="3"/>
  <c r="O1831" i="3"/>
  <c r="O1831" i="3" a="1"/>
  <c r="N1831" i="3"/>
  <c r="M1831" i="3"/>
  <c r="O1830" i="3"/>
  <c r="O1830" i="3" a="1"/>
  <c r="N1830" i="3"/>
  <c r="M1830" i="3"/>
  <c r="O1829" i="3"/>
  <c r="O1829" i="3" a="1"/>
  <c r="N1829" i="3"/>
  <c r="M1829" i="3"/>
  <c r="O1828" i="3"/>
  <c r="O1828" i="3" a="1"/>
  <c r="N1828" i="3"/>
  <c r="M1828" i="3"/>
  <c r="O1827" i="3"/>
  <c r="O1827" i="3" a="1"/>
  <c r="N1827" i="3"/>
  <c r="M1827" i="3"/>
  <c r="O1826" i="3"/>
  <c r="O1826" i="3" a="1"/>
  <c r="N1826" i="3"/>
  <c r="M1826" i="3"/>
  <c r="O1825" i="3"/>
  <c r="O1825" i="3" a="1"/>
  <c r="N1825" i="3"/>
  <c r="M1825" i="3"/>
  <c r="O1824" i="3"/>
  <c r="O1824" i="3" a="1"/>
  <c r="N1824" i="3"/>
  <c r="M1824" i="3"/>
  <c r="O1823" i="3"/>
  <c r="O1823" i="3" a="1"/>
  <c r="N1823" i="3"/>
  <c r="M1823" i="3"/>
  <c r="O1822" i="3"/>
  <c r="O1822" i="3" a="1"/>
  <c r="N1822" i="3"/>
  <c r="M1822" i="3"/>
  <c r="O1821" i="3"/>
  <c r="O1821" i="3" a="1"/>
  <c r="N1821" i="3"/>
  <c r="M1821" i="3"/>
  <c r="O1820" i="3"/>
  <c r="O1820" i="3" a="1"/>
  <c r="N1820" i="3"/>
  <c r="M1820" i="3"/>
  <c r="O1819" i="3"/>
  <c r="O1819" i="3" a="1"/>
  <c r="N1819" i="3"/>
  <c r="M1819" i="3"/>
  <c r="O1818" i="3"/>
  <c r="O1818" i="3" a="1"/>
  <c r="N1818" i="3"/>
  <c r="M1818" i="3"/>
  <c r="O1817" i="3"/>
  <c r="O1817" i="3" a="1"/>
  <c r="N1817" i="3"/>
  <c r="M1817" i="3"/>
  <c r="O1816" i="3"/>
  <c r="O1816" i="3" a="1"/>
  <c r="N1816" i="3"/>
  <c r="M1816" i="3"/>
  <c r="O1815" i="3"/>
  <c r="O1815" i="3" a="1"/>
  <c r="N1815" i="3"/>
  <c r="M1815" i="3"/>
  <c r="O1814" i="3"/>
  <c r="O1814" i="3" a="1"/>
  <c r="N1814" i="3"/>
  <c r="M1814" i="3"/>
  <c r="O1813" i="3"/>
  <c r="O1813" i="3" a="1"/>
  <c r="N1813" i="3"/>
  <c r="M1813" i="3"/>
  <c r="O1812" i="3"/>
  <c r="O1812" i="3" a="1"/>
  <c r="N1812" i="3"/>
  <c r="M1812" i="3"/>
  <c r="O1811" i="3"/>
  <c r="O1811" i="3" a="1"/>
  <c r="N1811" i="3"/>
  <c r="M1811" i="3"/>
  <c r="O1810" i="3"/>
  <c r="O1810" i="3" a="1"/>
  <c r="N1810" i="3"/>
  <c r="M1810" i="3"/>
  <c r="O1809" i="3"/>
  <c r="O1809" i="3" a="1"/>
  <c r="N1809" i="3"/>
  <c r="M1809" i="3"/>
  <c r="O1808" i="3"/>
  <c r="O1808" i="3" a="1"/>
  <c r="N1808" i="3"/>
  <c r="M1808" i="3"/>
  <c r="O1807" i="3"/>
  <c r="O1807" i="3" a="1"/>
  <c r="N1807" i="3"/>
  <c r="M1807" i="3"/>
  <c r="O1806" i="3"/>
  <c r="O1806" i="3" a="1"/>
  <c r="N1806" i="3"/>
  <c r="M1806" i="3"/>
  <c r="O1805" i="3"/>
  <c r="O1805" i="3" a="1"/>
  <c r="N1805" i="3"/>
  <c r="M1805" i="3"/>
  <c r="O1804" i="3"/>
  <c r="O1804" i="3" a="1"/>
  <c r="N1804" i="3"/>
  <c r="M1804" i="3"/>
  <c r="O1803" i="3"/>
  <c r="O1803" i="3" a="1"/>
  <c r="N1803" i="3"/>
  <c r="M1803" i="3"/>
  <c r="O1802" i="3"/>
  <c r="O1802" i="3" a="1"/>
  <c r="N1802" i="3"/>
  <c r="M1802" i="3"/>
  <c r="O1801" i="3"/>
  <c r="O1801" i="3" a="1"/>
  <c r="N1801" i="3"/>
  <c r="M1801" i="3"/>
  <c r="O1800" i="3"/>
  <c r="O1800" i="3" a="1"/>
  <c r="N1800" i="3"/>
  <c r="M1800" i="3"/>
  <c r="O1799" i="3"/>
  <c r="O1799" i="3" a="1"/>
  <c r="N1799" i="3"/>
  <c r="M1799" i="3"/>
  <c r="O1798" i="3"/>
  <c r="O1798" i="3" a="1"/>
  <c r="N1798" i="3"/>
  <c r="M1798" i="3"/>
  <c r="O1797" i="3"/>
  <c r="O1797" i="3" a="1"/>
  <c r="N1797" i="3"/>
  <c r="M1797" i="3"/>
  <c r="O1796" i="3"/>
  <c r="O1796" i="3" a="1"/>
  <c r="N1796" i="3"/>
  <c r="M1796" i="3"/>
  <c r="O1795" i="3"/>
  <c r="O1795" i="3" a="1"/>
  <c r="N1795" i="3"/>
  <c r="M1795" i="3"/>
  <c r="O1794" i="3"/>
  <c r="O1794" i="3" a="1"/>
  <c r="N1794" i="3"/>
  <c r="M1794" i="3"/>
  <c r="O1793" i="3"/>
  <c r="O1793" i="3" a="1"/>
  <c r="N1793" i="3"/>
  <c r="M1793" i="3"/>
  <c r="O1792" i="3"/>
  <c r="O1792" i="3" a="1"/>
  <c r="N1792" i="3"/>
  <c r="M1792" i="3"/>
  <c r="O1791" i="3"/>
  <c r="O1791" i="3" a="1"/>
  <c r="N1791" i="3"/>
  <c r="M1791" i="3"/>
  <c r="O1790" i="3"/>
  <c r="O1790" i="3" a="1"/>
  <c r="N1790" i="3"/>
  <c r="M1790" i="3"/>
  <c r="O1789" i="3"/>
  <c r="O1789" i="3" a="1"/>
  <c r="N1789" i="3"/>
  <c r="M1789" i="3"/>
  <c r="O1788" i="3"/>
  <c r="O1788" i="3" a="1"/>
  <c r="N1788" i="3"/>
  <c r="M1788" i="3"/>
  <c r="O1787" i="3"/>
  <c r="O1787" i="3" a="1"/>
  <c r="N1787" i="3"/>
  <c r="M1787" i="3"/>
  <c r="O1786" i="3"/>
  <c r="O1786" i="3" a="1"/>
  <c r="N1786" i="3"/>
  <c r="M1786" i="3"/>
  <c r="O1785" i="3"/>
  <c r="O1785" i="3" a="1"/>
  <c r="N1785" i="3"/>
  <c r="M1785" i="3"/>
  <c r="O1784" i="3" a="1"/>
  <c r="O1784" i="3" s="1"/>
  <c r="N1784" i="3"/>
  <c r="M1784" i="3"/>
  <c r="O1783" i="3"/>
  <c r="O1783" i="3" a="1"/>
  <c r="N1783" i="3"/>
  <c r="M1783" i="3"/>
  <c r="O1782" i="3" a="1"/>
  <c r="O1782" i="3" s="1"/>
  <c r="N1782" i="3"/>
  <c r="M1782" i="3"/>
  <c r="O1781" i="3" a="1"/>
  <c r="O1781" i="3" s="1"/>
  <c r="N1781" i="3"/>
  <c r="M1781" i="3"/>
  <c r="O1780" i="3" a="1"/>
  <c r="O1780" i="3" s="1"/>
  <c r="N1780" i="3"/>
  <c r="M1780" i="3"/>
  <c r="O1779" i="3" a="1"/>
  <c r="O1779" i="3" s="1"/>
  <c r="N1779" i="3"/>
  <c r="M1779" i="3"/>
  <c r="O1778" i="3" a="1"/>
  <c r="O1778" i="3" s="1"/>
  <c r="N1778" i="3"/>
  <c r="M1778" i="3"/>
  <c r="O1777" i="3"/>
  <c r="O1777" i="3" a="1"/>
  <c r="N1777" i="3"/>
  <c r="M1777" i="3"/>
  <c r="O1776" i="3" a="1"/>
  <c r="O1776" i="3" s="1"/>
  <c r="N1776" i="3"/>
  <c r="M1776" i="3"/>
  <c r="O1775" i="3" a="1"/>
  <c r="O1775" i="3" s="1"/>
  <c r="N1775" i="3"/>
  <c r="M1775" i="3"/>
  <c r="O1774" i="3" a="1"/>
  <c r="O1774" i="3" s="1"/>
  <c r="N1774" i="3"/>
  <c r="M1774" i="3"/>
  <c r="O1773" i="3"/>
  <c r="O1773" i="3" a="1"/>
  <c r="N1773" i="3"/>
  <c r="M1773" i="3"/>
  <c r="O1772" i="3" a="1"/>
  <c r="O1772" i="3" s="1"/>
  <c r="N1772" i="3"/>
  <c r="M1772" i="3"/>
  <c r="O1771" i="3"/>
  <c r="O1771" i="3" a="1"/>
  <c r="N1771" i="3"/>
  <c r="M1771" i="3"/>
  <c r="O1770" i="3" a="1"/>
  <c r="O1770" i="3" s="1"/>
  <c r="N1770" i="3"/>
  <c r="M1770" i="3"/>
  <c r="O1769" i="3"/>
  <c r="O1769" i="3" a="1"/>
  <c r="N1769" i="3"/>
  <c r="M1769" i="3"/>
  <c r="O1768" i="3" a="1"/>
  <c r="O1768" i="3" s="1"/>
  <c r="N1768" i="3"/>
  <c r="M1768" i="3"/>
  <c r="O1767" i="3" a="1"/>
  <c r="O1767" i="3" s="1"/>
  <c r="N1767" i="3"/>
  <c r="M1767" i="3"/>
  <c r="O1766" i="3" a="1"/>
  <c r="O1766" i="3" s="1"/>
  <c r="N1766" i="3"/>
  <c r="M1766" i="3"/>
  <c r="O1765" i="3" a="1"/>
  <c r="O1765" i="3" s="1"/>
  <c r="N1765" i="3"/>
  <c r="M1765" i="3"/>
  <c r="O1764" i="3" a="1"/>
  <c r="O1764" i="3" s="1"/>
  <c r="N1764" i="3"/>
  <c r="M1764" i="3"/>
  <c r="O1763" i="3" a="1"/>
  <c r="O1763" i="3" s="1"/>
  <c r="N1763" i="3"/>
  <c r="M1763" i="3"/>
  <c r="O1762" i="3" a="1"/>
  <c r="O1762" i="3" s="1"/>
  <c r="N1762" i="3"/>
  <c r="M1762" i="3"/>
  <c r="O1761" i="3"/>
  <c r="O1761" i="3" a="1"/>
  <c r="N1761" i="3"/>
  <c r="M1761" i="3"/>
  <c r="O1760" i="3" a="1"/>
  <c r="O1760" i="3" s="1"/>
  <c r="N1760" i="3"/>
  <c r="M1760" i="3"/>
  <c r="O1759" i="3" a="1"/>
  <c r="O1759" i="3" s="1"/>
  <c r="N1759" i="3"/>
  <c r="M1759" i="3"/>
  <c r="O1758" i="3" a="1"/>
  <c r="O1758" i="3" s="1"/>
  <c r="N1758" i="3"/>
  <c r="M1758" i="3"/>
  <c r="O1757" i="3"/>
  <c r="O1757" i="3" a="1"/>
  <c r="N1757" i="3"/>
  <c r="M1757" i="3"/>
  <c r="O1756" i="3" a="1"/>
  <c r="O1756" i="3" s="1"/>
  <c r="N1756" i="3"/>
  <c r="M1756" i="3"/>
  <c r="O1755" i="3"/>
  <c r="O1755" i="3" a="1"/>
  <c r="N1755" i="3"/>
  <c r="M1755" i="3"/>
  <c r="O1754" i="3" a="1"/>
  <c r="O1754" i="3" s="1"/>
  <c r="N1754" i="3"/>
  <c r="M1754" i="3"/>
  <c r="O1753" i="3"/>
  <c r="O1753" i="3" a="1"/>
  <c r="N1753" i="3"/>
  <c r="M1753" i="3"/>
  <c r="O1752" i="3" a="1"/>
  <c r="O1752" i="3" s="1"/>
  <c r="N1752" i="3"/>
  <c r="M1752" i="3"/>
  <c r="O1751" i="3"/>
  <c r="O1751" i="3" a="1"/>
  <c r="N1751" i="3"/>
  <c r="M1751" i="3"/>
  <c r="O1750" i="3" a="1"/>
  <c r="O1750" i="3" s="1"/>
  <c r="N1750" i="3"/>
  <c r="M1750" i="3"/>
  <c r="O1749" i="3" a="1"/>
  <c r="O1749" i="3" s="1"/>
  <c r="N1749" i="3"/>
  <c r="M1749" i="3"/>
  <c r="O1748" i="3" a="1"/>
  <c r="O1748" i="3" s="1"/>
  <c r="N1748" i="3"/>
  <c r="M1748" i="3"/>
  <c r="O1747" i="3" a="1"/>
  <c r="O1747" i="3" s="1"/>
  <c r="N1747" i="3"/>
  <c r="M1747" i="3"/>
  <c r="O1746" i="3" a="1"/>
  <c r="O1746" i="3" s="1"/>
  <c r="N1746" i="3"/>
  <c r="M1746" i="3"/>
  <c r="O1745" i="3"/>
  <c r="O1745" i="3" a="1"/>
  <c r="N1745" i="3"/>
  <c r="M1745" i="3"/>
  <c r="O1744" i="3" a="1"/>
  <c r="O1744" i="3" s="1"/>
  <c r="N1744" i="3"/>
  <c r="M1744" i="3"/>
  <c r="O1743" i="3" a="1"/>
  <c r="O1743" i="3" s="1"/>
  <c r="N1743" i="3"/>
  <c r="M1743" i="3"/>
  <c r="O1742" i="3" a="1"/>
  <c r="O1742" i="3" s="1"/>
  <c r="N1742" i="3"/>
  <c r="M1742" i="3"/>
  <c r="O1741" i="3"/>
  <c r="O1741" i="3" a="1"/>
  <c r="N1741" i="3"/>
  <c r="M1741" i="3"/>
  <c r="O1740" i="3" a="1"/>
  <c r="O1740" i="3" s="1"/>
  <c r="N1740" i="3"/>
  <c r="M1740" i="3"/>
  <c r="O1739" i="3"/>
  <c r="O1739" i="3" a="1"/>
  <c r="N1739" i="3"/>
  <c r="M1739" i="3"/>
  <c r="O1738" i="3" a="1"/>
  <c r="O1738" i="3" s="1"/>
  <c r="N1738" i="3"/>
  <c r="M1738" i="3"/>
  <c r="O1737" i="3"/>
  <c r="O1737" i="3" a="1"/>
  <c r="N1737" i="3"/>
  <c r="M1737" i="3"/>
  <c r="O1736" i="3" a="1"/>
  <c r="O1736" i="3" s="1"/>
  <c r="N1736" i="3"/>
  <c r="M1736" i="3"/>
  <c r="O1735" i="3"/>
  <c r="O1735" i="3" a="1"/>
  <c r="N1735" i="3"/>
  <c r="M1735" i="3"/>
  <c r="O1734" i="3" a="1"/>
  <c r="O1734" i="3" s="1"/>
  <c r="N1734" i="3"/>
  <c r="M1734" i="3"/>
  <c r="O1733" i="3" a="1"/>
  <c r="O1733" i="3" s="1"/>
  <c r="N1733" i="3"/>
  <c r="M1733" i="3"/>
  <c r="O1732" i="3" a="1"/>
  <c r="O1732" i="3" s="1"/>
  <c r="N1732" i="3"/>
  <c r="M1732" i="3"/>
  <c r="O1731" i="3" a="1"/>
  <c r="O1731" i="3" s="1"/>
  <c r="N1731" i="3"/>
  <c r="M1731" i="3"/>
  <c r="O1730" i="3" a="1"/>
  <c r="O1730" i="3" s="1"/>
  <c r="N1730" i="3"/>
  <c r="M1730" i="3"/>
  <c r="O1729" i="3"/>
  <c r="O1729" i="3" a="1"/>
  <c r="N1729" i="3"/>
  <c r="M1729" i="3"/>
  <c r="O1728" i="3" a="1"/>
  <c r="O1728" i="3" s="1"/>
  <c r="N1728" i="3"/>
  <c r="M1728" i="3"/>
  <c r="O1727" i="3" a="1"/>
  <c r="O1727" i="3" s="1"/>
  <c r="N1727" i="3"/>
  <c r="M1727" i="3"/>
  <c r="O1726" i="3" a="1"/>
  <c r="O1726" i="3" s="1"/>
  <c r="N1726" i="3"/>
  <c r="M1726" i="3"/>
  <c r="O1725" i="3"/>
  <c r="O1725" i="3" a="1"/>
  <c r="N1725" i="3"/>
  <c r="M1725" i="3"/>
  <c r="O1724" i="3" a="1"/>
  <c r="O1724" i="3" s="1"/>
  <c r="N1724" i="3"/>
  <c r="M1724" i="3"/>
  <c r="O1723" i="3"/>
  <c r="O1723" i="3" a="1"/>
  <c r="N1723" i="3"/>
  <c r="M1723" i="3"/>
  <c r="O1722" i="3" a="1"/>
  <c r="O1722" i="3" s="1"/>
  <c r="N1722" i="3"/>
  <c r="M1722" i="3"/>
  <c r="O1721" i="3"/>
  <c r="O1721" i="3" a="1"/>
  <c r="N1721" i="3"/>
  <c r="M1721" i="3"/>
  <c r="O1720" i="3" a="1"/>
  <c r="O1720" i="3" s="1"/>
  <c r="N1720" i="3"/>
  <c r="M1720" i="3"/>
  <c r="O1719" i="3" a="1"/>
  <c r="O1719" i="3" s="1"/>
  <c r="N1719" i="3"/>
  <c r="M1719" i="3"/>
  <c r="O1718" i="3" a="1"/>
  <c r="O1718" i="3" s="1"/>
  <c r="N1718" i="3"/>
  <c r="M1718" i="3"/>
  <c r="O1717" i="3" a="1"/>
  <c r="O1717" i="3" s="1"/>
  <c r="N1717" i="3"/>
  <c r="M1717" i="3"/>
  <c r="O1716" i="3" a="1"/>
  <c r="O1716" i="3" s="1"/>
  <c r="N1716" i="3"/>
  <c r="M1716" i="3"/>
  <c r="O1715" i="3" a="1"/>
  <c r="O1715" i="3" s="1"/>
  <c r="N1715" i="3"/>
  <c r="M1715" i="3"/>
  <c r="O1714" i="3" a="1"/>
  <c r="O1714" i="3" s="1"/>
  <c r="N1714" i="3"/>
  <c r="M1714" i="3"/>
  <c r="O1713" i="3"/>
  <c r="O1713" i="3" a="1"/>
  <c r="N1713" i="3"/>
  <c r="M1713" i="3"/>
  <c r="O1712" i="3" a="1"/>
  <c r="O1712" i="3" s="1"/>
  <c r="N1712" i="3"/>
  <c r="M1712" i="3"/>
  <c r="O1711" i="3" a="1"/>
  <c r="O1711" i="3" s="1"/>
  <c r="N1711" i="3"/>
  <c r="M1711" i="3"/>
  <c r="O1710" i="3" a="1"/>
  <c r="O1710" i="3" s="1"/>
  <c r="N1710" i="3"/>
  <c r="M1710" i="3"/>
  <c r="O1709" i="3"/>
  <c r="O1709" i="3" a="1"/>
  <c r="N1709" i="3"/>
  <c r="M1709" i="3"/>
  <c r="O1708" i="3" a="1"/>
  <c r="O1708" i="3" s="1"/>
  <c r="N1708" i="3"/>
  <c r="M1708" i="3"/>
  <c r="O1707" i="3"/>
  <c r="O1707" i="3" a="1"/>
  <c r="N1707" i="3"/>
  <c r="M1707" i="3"/>
  <c r="O1706" i="3" a="1"/>
  <c r="O1706" i="3" s="1"/>
  <c r="N1706" i="3"/>
  <c r="M1706" i="3"/>
  <c r="O1705" i="3"/>
  <c r="O1705" i="3" a="1"/>
  <c r="N1705" i="3"/>
  <c r="M1705" i="3"/>
  <c r="O1704" i="3" a="1"/>
  <c r="O1704" i="3" s="1"/>
  <c r="N1704" i="3"/>
  <c r="M1704" i="3"/>
  <c r="O1703" i="3" a="1"/>
  <c r="O1703" i="3" s="1"/>
  <c r="N1703" i="3"/>
  <c r="M1703" i="3"/>
  <c r="O1702" i="3" a="1"/>
  <c r="O1702" i="3" s="1"/>
  <c r="N1702" i="3"/>
  <c r="M1702" i="3"/>
  <c r="O1701" i="3" a="1"/>
  <c r="O1701" i="3" s="1"/>
  <c r="N1701" i="3"/>
  <c r="M1701" i="3"/>
  <c r="O1700" i="3" a="1"/>
  <c r="O1700" i="3" s="1"/>
  <c r="N1700" i="3"/>
  <c r="M1700" i="3"/>
  <c r="O1699" i="3" a="1"/>
  <c r="O1699" i="3" s="1"/>
  <c r="N1699" i="3"/>
  <c r="M1699" i="3"/>
  <c r="O1698" i="3" a="1"/>
  <c r="O1698" i="3" s="1"/>
  <c r="N1698" i="3"/>
  <c r="M1698" i="3"/>
  <c r="O1697" i="3"/>
  <c r="O1697" i="3" a="1"/>
  <c r="N1697" i="3"/>
  <c r="M1697" i="3"/>
  <c r="O1696" i="3" a="1"/>
  <c r="O1696" i="3" s="1"/>
  <c r="N1696" i="3"/>
  <c r="M1696" i="3"/>
  <c r="O1695" i="3" a="1"/>
  <c r="O1695" i="3" s="1"/>
  <c r="N1695" i="3"/>
  <c r="M1695" i="3"/>
  <c r="O1694" i="3" a="1"/>
  <c r="O1694" i="3" s="1"/>
  <c r="N1694" i="3"/>
  <c r="M1694" i="3"/>
  <c r="O1693" i="3"/>
  <c r="O1693" i="3" a="1"/>
  <c r="N1693" i="3"/>
  <c r="M1693" i="3"/>
  <c r="O1692" i="3" a="1"/>
  <c r="O1692" i="3" s="1"/>
  <c r="N1692" i="3"/>
  <c r="M1692" i="3"/>
  <c r="O1691" i="3"/>
  <c r="O1691" i="3" a="1"/>
  <c r="N1691" i="3"/>
  <c r="M1691" i="3"/>
  <c r="O1690" i="3" a="1"/>
  <c r="O1690" i="3" s="1"/>
  <c r="N1690" i="3"/>
  <c r="M1690" i="3"/>
  <c r="O1689" i="3"/>
  <c r="O1689" i="3" a="1"/>
  <c r="N1689" i="3"/>
  <c r="M1689" i="3"/>
  <c r="O1688" i="3" a="1"/>
  <c r="O1688" i="3" s="1"/>
  <c r="N1688" i="3"/>
  <c r="M1688" i="3"/>
  <c r="O1687" i="3"/>
  <c r="O1687" i="3" a="1"/>
  <c r="N1687" i="3"/>
  <c r="M1687" i="3"/>
  <c r="O1686" i="3" a="1"/>
  <c r="O1686" i="3" s="1"/>
  <c r="N1686" i="3"/>
  <c r="M1686" i="3"/>
  <c r="O1685" i="3" a="1"/>
  <c r="O1685" i="3" s="1"/>
  <c r="N1685" i="3"/>
  <c r="M1685" i="3"/>
  <c r="O1684" i="3" a="1"/>
  <c r="O1684" i="3" s="1"/>
  <c r="N1684" i="3"/>
  <c r="M1684" i="3"/>
  <c r="O1683" i="3" a="1"/>
  <c r="O1683" i="3" s="1"/>
  <c r="N1683" i="3"/>
  <c r="M1683" i="3"/>
  <c r="O1682" i="3" a="1"/>
  <c r="O1682" i="3" s="1"/>
  <c r="N1682" i="3"/>
  <c r="M1682" i="3"/>
  <c r="O1681" i="3"/>
  <c r="O1681" i="3" a="1"/>
  <c r="N1681" i="3"/>
  <c r="M1681" i="3"/>
  <c r="O1680" i="3" a="1"/>
  <c r="O1680" i="3" s="1"/>
  <c r="N1680" i="3"/>
  <c r="M1680" i="3"/>
  <c r="O1679" i="3" a="1"/>
  <c r="O1679" i="3" s="1"/>
  <c r="N1679" i="3"/>
  <c r="M1679" i="3"/>
  <c r="O1678" i="3" a="1"/>
  <c r="O1678" i="3" s="1"/>
  <c r="N1678" i="3"/>
  <c r="M1678" i="3"/>
  <c r="O1677" i="3"/>
  <c r="O1677" i="3" a="1"/>
  <c r="N1677" i="3"/>
  <c r="M1677" i="3"/>
  <c r="O1676" i="3" a="1"/>
  <c r="O1676" i="3" s="1"/>
  <c r="N1676" i="3"/>
  <c r="M1676" i="3"/>
  <c r="O1675" i="3"/>
  <c r="O1675" i="3" a="1"/>
  <c r="N1675" i="3"/>
  <c r="M1675" i="3"/>
  <c r="O1674" i="3" a="1"/>
  <c r="O1674" i="3" s="1"/>
  <c r="N1674" i="3"/>
  <c r="M1674" i="3"/>
  <c r="O1673" i="3"/>
  <c r="O1673" i="3" a="1"/>
  <c r="N1673" i="3"/>
  <c r="M1673" i="3"/>
  <c r="O1672" i="3" a="1"/>
  <c r="O1672" i="3" s="1"/>
  <c r="N1672" i="3"/>
  <c r="M1672" i="3"/>
  <c r="O1671" i="3"/>
  <c r="O1671" i="3" a="1"/>
  <c r="N1671" i="3"/>
  <c r="M1671" i="3"/>
  <c r="O1670" i="3" a="1"/>
  <c r="O1670" i="3" s="1"/>
  <c r="N1670" i="3"/>
  <c r="M1670" i="3"/>
  <c r="O1669" i="3" a="1"/>
  <c r="O1669" i="3" s="1"/>
  <c r="N1669" i="3"/>
  <c r="M1669" i="3"/>
  <c r="O1668" i="3" a="1"/>
  <c r="O1668" i="3" s="1"/>
  <c r="N1668" i="3"/>
  <c r="M1668" i="3"/>
  <c r="O1667" i="3" a="1"/>
  <c r="O1667" i="3" s="1"/>
  <c r="N1667" i="3"/>
  <c r="M1667" i="3"/>
  <c r="O1666" i="3" a="1"/>
  <c r="O1666" i="3" s="1"/>
  <c r="N1666" i="3"/>
  <c r="M1666" i="3"/>
  <c r="O1665" i="3"/>
  <c r="O1665" i="3" a="1"/>
  <c r="N1665" i="3"/>
  <c r="M1665" i="3"/>
  <c r="O1664" i="3" a="1"/>
  <c r="O1664" i="3" s="1"/>
  <c r="N1664" i="3"/>
  <c r="M1664" i="3"/>
  <c r="O1663" i="3" a="1"/>
  <c r="O1663" i="3" s="1"/>
  <c r="N1663" i="3"/>
  <c r="M1663" i="3"/>
  <c r="O1662" i="3" a="1"/>
  <c r="O1662" i="3" s="1"/>
  <c r="N1662" i="3"/>
  <c r="M1662" i="3"/>
  <c r="O1661" i="3"/>
  <c r="O1661" i="3" a="1"/>
  <c r="N1661" i="3"/>
  <c r="M1661" i="3"/>
  <c r="O1660" i="3" a="1"/>
  <c r="O1660" i="3" s="1"/>
  <c r="N1660" i="3"/>
  <c r="M1660" i="3"/>
  <c r="O1659" i="3"/>
  <c r="O1659" i="3" a="1"/>
  <c r="N1659" i="3"/>
  <c r="M1659" i="3"/>
  <c r="O1658" i="3" a="1"/>
  <c r="O1658" i="3" s="1"/>
  <c r="N1658" i="3"/>
  <c r="M1658" i="3"/>
  <c r="O1657" i="3"/>
  <c r="O1657" i="3" a="1"/>
  <c r="N1657" i="3"/>
  <c r="M1657" i="3"/>
  <c r="O1656" i="3" a="1"/>
  <c r="O1656" i="3" s="1"/>
  <c r="N1656" i="3"/>
  <c r="M1656" i="3"/>
  <c r="O1655" i="3"/>
  <c r="O1655" i="3" a="1"/>
  <c r="N1655" i="3"/>
  <c r="M1655" i="3"/>
  <c r="O1654" i="3" a="1"/>
  <c r="O1654" i="3" s="1"/>
  <c r="N1654" i="3"/>
  <c r="M1654" i="3"/>
  <c r="O1653" i="3" a="1"/>
  <c r="O1653" i="3" s="1"/>
  <c r="N1653" i="3"/>
  <c r="M1653" i="3"/>
  <c r="O1652" i="3" a="1"/>
  <c r="O1652" i="3" s="1"/>
  <c r="N1652" i="3"/>
  <c r="M1652" i="3"/>
  <c r="O1651" i="3" a="1"/>
  <c r="O1651" i="3" s="1"/>
  <c r="N1651" i="3"/>
  <c r="M1651" i="3"/>
  <c r="O1650" i="3" a="1"/>
  <c r="O1650" i="3" s="1"/>
  <c r="N1650" i="3"/>
  <c r="M1650" i="3"/>
  <c r="O1649" i="3"/>
  <c r="O1649" i="3" a="1"/>
  <c r="N1649" i="3"/>
  <c r="M1649" i="3"/>
  <c r="O1648" i="3" a="1"/>
  <c r="O1648" i="3" s="1"/>
  <c r="N1648" i="3"/>
  <c r="M1648" i="3"/>
  <c r="O1647" i="3" a="1"/>
  <c r="O1647" i="3" s="1"/>
  <c r="N1647" i="3"/>
  <c r="M1647" i="3"/>
  <c r="O1646" i="3" a="1"/>
  <c r="O1646" i="3" s="1"/>
  <c r="N1646" i="3"/>
  <c r="M1646" i="3"/>
  <c r="O1645" i="3"/>
  <c r="O1645" i="3" a="1"/>
  <c r="N1645" i="3"/>
  <c r="M1645" i="3"/>
  <c r="O1644" i="3" a="1"/>
  <c r="O1644" i="3" s="1"/>
  <c r="N1644" i="3"/>
  <c r="M1644" i="3"/>
  <c r="O1643" i="3"/>
  <c r="O1643" i="3" a="1"/>
  <c r="N1643" i="3"/>
  <c r="M1643" i="3"/>
  <c r="O1642" i="3" a="1"/>
  <c r="O1642" i="3" s="1"/>
  <c r="N1642" i="3"/>
  <c r="M1642" i="3"/>
  <c r="O1641" i="3"/>
  <c r="O1641" i="3" a="1"/>
  <c r="N1641" i="3"/>
  <c r="M1641" i="3"/>
  <c r="O1640" i="3" a="1"/>
  <c r="O1640" i="3" s="1"/>
  <c r="N1640" i="3"/>
  <c r="M1640" i="3"/>
  <c r="O1639" i="3" a="1"/>
  <c r="O1639" i="3" s="1"/>
  <c r="N1639" i="3"/>
  <c r="M1639" i="3"/>
  <c r="O1638" i="3" a="1"/>
  <c r="O1638" i="3" s="1"/>
  <c r="N1638" i="3"/>
  <c r="M1638" i="3"/>
  <c r="O1637" i="3" a="1"/>
  <c r="O1637" i="3" s="1"/>
  <c r="N1637" i="3"/>
  <c r="M1637" i="3"/>
  <c r="O1636" i="3" a="1"/>
  <c r="O1636" i="3" s="1"/>
  <c r="N1636" i="3"/>
  <c r="M1636" i="3"/>
  <c r="O1635" i="3" a="1"/>
  <c r="O1635" i="3" s="1"/>
  <c r="N1635" i="3"/>
  <c r="M1635" i="3"/>
  <c r="O1634" i="3" a="1"/>
  <c r="O1634" i="3" s="1"/>
  <c r="N1634" i="3"/>
  <c r="M1634" i="3"/>
  <c r="O1633" i="3"/>
  <c r="O1633" i="3" a="1"/>
  <c r="N1633" i="3"/>
  <c r="M1633" i="3"/>
  <c r="O1632" i="3" a="1"/>
  <c r="O1632" i="3" s="1"/>
  <c r="N1632" i="3"/>
  <c r="M1632" i="3"/>
  <c r="O1631" i="3" a="1"/>
  <c r="O1631" i="3" s="1"/>
  <c r="N1631" i="3"/>
  <c r="M1631" i="3"/>
  <c r="O1630" i="3" a="1"/>
  <c r="O1630" i="3" s="1"/>
  <c r="N1630" i="3"/>
  <c r="M1630" i="3"/>
  <c r="O1629" i="3"/>
  <c r="O1629" i="3" a="1"/>
  <c r="N1629" i="3"/>
  <c r="M1629" i="3"/>
  <c r="O1628" i="3" a="1"/>
  <c r="O1628" i="3" s="1"/>
  <c r="N1628" i="3"/>
  <c r="M1628" i="3"/>
  <c r="O1627" i="3"/>
  <c r="O1627" i="3" a="1"/>
  <c r="N1627" i="3"/>
  <c r="M1627" i="3"/>
  <c r="O1626" i="3" a="1"/>
  <c r="O1626" i="3" s="1"/>
  <c r="N1626" i="3"/>
  <c r="M1626" i="3"/>
  <c r="O1625" i="3"/>
  <c r="O1625" i="3" a="1"/>
  <c r="N1625" i="3"/>
  <c r="M1625" i="3"/>
  <c r="O1624" i="3" a="1"/>
  <c r="O1624" i="3" s="1"/>
  <c r="N1624" i="3"/>
  <c r="M1624" i="3"/>
  <c r="O1623" i="3"/>
  <c r="O1623" i="3" a="1"/>
  <c r="N1623" i="3"/>
  <c r="M1623" i="3"/>
  <c r="O1622" i="3" a="1"/>
  <c r="O1622" i="3" s="1"/>
  <c r="N1622" i="3"/>
  <c r="M1622" i="3"/>
  <c r="O1621" i="3" a="1"/>
  <c r="O1621" i="3" s="1"/>
  <c r="N1621" i="3"/>
  <c r="M1621" i="3"/>
  <c r="O1620" i="3" a="1"/>
  <c r="O1620" i="3" s="1"/>
  <c r="N1620" i="3"/>
  <c r="M1620" i="3"/>
  <c r="O1619" i="3" a="1"/>
  <c r="O1619" i="3" s="1"/>
  <c r="N1619" i="3"/>
  <c r="M1619" i="3"/>
  <c r="O1618" i="3" a="1"/>
  <c r="O1618" i="3" s="1"/>
  <c r="N1618" i="3"/>
  <c r="M1618" i="3"/>
  <c r="O1617" i="3"/>
  <c r="O1617" i="3" a="1"/>
  <c r="N1617" i="3"/>
  <c r="M1617" i="3"/>
  <c r="O1616" i="3" a="1"/>
  <c r="O1616" i="3" s="1"/>
  <c r="N1616" i="3"/>
  <c r="M1616" i="3"/>
  <c r="O1615" i="3" a="1"/>
  <c r="O1615" i="3" s="1"/>
  <c r="N1615" i="3"/>
  <c r="M1615" i="3"/>
  <c r="O1614" i="3" a="1"/>
  <c r="O1614" i="3" s="1"/>
  <c r="N1614" i="3"/>
  <c r="M1614" i="3"/>
  <c r="O1613" i="3"/>
  <c r="O1613" i="3" a="1"/>
  <c r="N1613" i="3"/>
  <c r="M1613" i="3"/>
  <c r="O1612" i="3" a="1"/>
  <c r="O1612" i="3" s="1"/>
  <c r="N1612" i="3"/>
  <c r="M1612" i="3"/>
  <c r="O1611" i="3"/>
  <c r="O1611" i="3" a="1"/>
  <c r="N1611" i="3"/>
  <c r="M1611" i="3"/>
  <c r="O1610" i="3" a="1"/>
  <c r="O1610" i="3" s="1"/>
  <c r="N1610" i="3"/>
  <c r="M1610" i="3"/>
  <c r="O1609" i="3"/>
  <c r="O1609" i="3" a="1"/>
  <c r="N1609" i="3"/>
  <c r="M1609" i="3"/>
  <c r="O1608" i="3" a="1"/>
  <c r="O1608" i="3" s="1"/>
  <c r="N1608" i="3"/>
  <c r="M1608" i="3"/>
  <c r="O1607" i="3"/>
  <c r="O1607" i="3" a="1"/>
  <c r="N1607" i="3"/>
  <c r="M1607" i="3"/>
  <c r="O1606" i="3" a="1"/>
  <c r="O1606" i="3" s="1"/>
  <c r="N1606" i="3"/>
  <c r="M1606" i="3"/>
  <c r="O1605" i="3" a="1"/>
  <c r="O1605" i="3" s="1"/>
  <c r="N1605" i="3"/>
  <c r="M1605" i="3"/>
  <c r="O1604" i="3" a="1"/>
  <c r="O1604" i="3" s="1"/>
  <c r="N1604" i="3"/>
  <c r="M1604" i="3"/>
  <c r="O1603" i="3" a="1"/>
  <c r="O1603" i="3" s="1"/>
  <c r="N1603" i="3"/>
  <c r="M1603" i="3"/>
  <c r="O1602" i="3" a="1"/>
  <c r="O1602" i="3" s="1"/>
  <c r="N1602" i="3"/>
  <c r="M1602" i="3"/>
  <c r="O1601" i="3"/>
  <c r="O1601" i="3" a="1"/>
  <c r="N1601" i="3"/>
  <c r="M1601" i="3"/>
  <c r="O1600" i="3" a="1"/>
  <c r="O1600" i="3" s="1"/>
  <c r="N1600" i="3"/>
  <c r="M1600" i="3"/>
  <c r="O1599" i="3" a="1"/>
  <c r="O1599" i="3" s="1"/>
  <c r="N1599" i="3"/>
  <c r="M1599" i="3"/>
  <c r="O1598" i="3" a="1"/>
  <c r="O1598" i="3" s="1"/>
  <c r="N1598" i="3"/>
  <c r="M1598" i="3"/>
  <c r="O1597" i="3"/>
  <c r="O1597" i="3" a="1"/>
  <c r="N1597" i="3"/>
  <c r="M1597" i="3"/>
  <c r="O1596" i="3" a="1"/>
  <c r="O1596" i="3" s="1"/>
  <c r="N1596" i="3"/>
  <c r="M1596" i="3"/>
  <c r="O1595" i="3"/>
  <c r="O1595" i="3" a="1"/>
  <c r="N1595" i="3"/>
  <c r="M1595" i="3"/>
  <c r="O1594" i="3" a="1"/>
  <c r="O1594" i="3" s="1"/>
  <c r="N1594" i="3"/>
  <c r="M1594" i="3"/>
  <c r="O1593" i="3"/>
  <c r="O1593" i="3" a="1"/>
  <c r="N1593" i="3"/>
  <c r="M1593" i="3"/>
  <c r="O1592" i="3" a="1"/>
  <c r="O1592" i="3" s="1"/>
  <c r="N1592" i="3"/>
  <c r="M1592" i="3"/>
  <c r="O1591" i="3" a="1"/>
  <c r="O1591" i="3" s="1"/>
  <c r="N1591" i="3"/>
  <c r="M1591" i="3"/>
  <c r="O1590" i="3" a="1"/>
  <c r="O1590" i="3" s="1"/>
  <c r="N1590" i="3"/>
  <c r="M1590" i="3"/>
  <c r="O1589" i="3" a="1"/>
  <c r="O1589" i="3" s="1"/>
  <c r="N1589" i="3"/>
  <c r="M1589" i="3"/>
  <c r="O1588" i="3" a="1"/>
  <c r="O1588" i="3" s="1"/>
  <c r="N1588" i="3"/>
  <c r="M1588" i="3"/>
  <c r="O1587" i="3" a="1"/>
  <c r="O1587" i="3" s="1"/>
  <c r="N1587" i="3"/>
  <c r="M1587" i="3"/>
  <c r="O1586" i="3" a="1"/>
  <c r="O1586" i="3" s="1"/>
  <c r="N1586" i="3"/>
  <c r="M1586" i="3"/>
  <c r="O1585" i="3"/>
  <c r="O1585" i="3" a="1"/>
  <c r="N1585" i="3"/>
  <c r="M1585" i="3"/>
  <c r="O1584" i="3" a="1"/>
  <c r="O1584" i="3" s="1"/>
  <c r="N1584" i="3"/>
  <c r="M1584" i="3"/>
  <c r="O1583" i="3" a="1"/>
  <c r="O1583" i="3" s="1"/>
  <c r="N1583" i="3"/>
  <c r="M1583" i="3"/>
  <c r="O1582" i="3" a="1"/>
  <c r="O1582" i="3" s="1"/>
  <c r="N1582" i="3"/>
  <c r="M1582" i="3"/>
  <c r="O1581" i="3"/>
  <c r="O1581" i="3" a="1"/>
  <c r="N1581" i="3"/>
  <c r="M1581" i="3"/>
  <c r="O1580" i="3" a="1"/>
  <c r="O1580" i="3" s="1"/>
  <c r="N1580" i="3"/>
  <c r="M1580" i="3"/>
  <c r="O1579" i="3"/>
  <c r="O1579" i="3" a="1"/>
  <c r="N1579" i="3"/>
  <c r="M1579" i="3"/>
  <c r="O1578" i="3" a="1"/>
  <c r="O1578" i="3" s="1"/>
  <c r="N1578" i="3"/>
  <c r="M1578" i="3"/>
  <c r="O1577" i="3"/>
  <c r="O1577" i="3" a="1"/>
  <c r="N1577" i="3"/>
  <c r="M1577" i="3"/>
  <c r="O1576" i="3" a="1"/>
  <c r="O1576" i="3" s="1"/>
  <c r="N1576" i="3"/>
  <c r="M1576" i="3"/>
  <c r="O1575" i="3" a="1"/>
  <c r="O1575" i="3" s="1"/>
  <c r="N1575" i="3"/>
  <c r="M1575" i="3"/>
  <c r="O1574" i="3" a="1"/>
  <c r="O1574" i="3" s="1"/>
  <c r="N1574" i="3"/>
  <c r="M1574" i="3"/>
  <c r="O1573" i="3" a="1"/>
  <c r="O1573" i="3" s="1"/>
  <c r="N1573" i="3"/>
  <c r="M1573" i="3"/>
  <c r="O1572" i="3" a="1"/>
  <c r="O1572" i="3" s="1"/>
  <c r="N1572" i="3"/>
  <c r="M1572" i="3"/>
  <c r="O1571" i="3" a="1"/>
  <c r="O1571" i="3" s="1"/>
  <c r="N1571" i="3"/>
  <c r="M1571" i="3"/>
  <c r="O1570" i="3" a="1"/>
  <c r="O1570" i="3" s="1"/>
  <c r="N1570" i="3"/>
  <c r="M1570" i="3"/>
  <c r="O1569" i="3"/>
  <c r="O1569" i="3" a="1"/>
  <c r="N1569" i="3"/>
  <c r="M1569" i="3"/>
  <c r="O1568" i="3" a="1"/>
  <c r="O1568" i="3" s="1"/>
  <c r="N1568" i="3"/>
  <c r="M1568" i="3"/>
  <c r="O1567" i="3" a="1"/>
  <c r="O1567" i="3" s="1"/>
  <c r="N1567" i="3"/>
  <c r="M1567" i="3"/>
  <c r="O1566" i="3" a="1"/>
  <c r="O1566" i="3" s="1"/>
  <c r="N1566" i="3"/>
  <c r="M1566" i="3"/>
  <c r="O1565" i="3"/>
  <c r="O1565" i="3" a="1"/>
  <c r="N1565" i="3"/>
  <c r="M1565" i="3"/>
  <c r="O1564" i="3" a="1"/>
  <c r="O1564" i="3" s="1"/>
  <c r="N1564" i="3"/>
  <c r="M1564" i="3"/>
  <c r="O1563" i="3"/>
  <c r="O1563" i="3" a="1"/>
  <c r="N1563" i="3"/>
  <c r="M1563" i="3"/>
  <c r="O1562" i="3" a="1"/>
  <c r="O1562" i="3" s="1"/>
  <c r="N1562" i="3"/>
  <c r="M1562" i="3"/>
  <c r="O1561" i="3"/>
  <c r="O1561" i="3" a="1"/>
  <c r="N1561" i="3"/>
  <c r="M1561" i="3"/>
  <c r="O1560" i="3" a="1"/>
  <c r="O1560" i="3" s="1"/>
  <c r="N1560" i="3"/>
  <c r="M1560" i="3"/>
  <c r="O1559" i="3"/>
  <c r="O1559" i="3" a="1"/>
  <c r="N1559" i="3"/>
  <c r="M1559" i="3"/>
  <c r="O1558" i="3" a="1"/>
  <c r="O1558" i="3" s="1"/>
  <c r="N1558" i="3"/>
  <c r="M1558" i="3"/>
  <c r="O1557" i="3" a="1"/>
  <c r="O1557" i="3" s="1"/>
  <c r="N1557" i="3"/>
  <c r="M1557" i="3"/>
  <c r="O1556" i="3" a="1"/>
  <c r="O1556" i="3" s="1"/>
  <c r="N1556" i="3"/>
  <c r="M1556" i="3"/>
  <c r="O1555" i="3" a="1"/>
  <c r="O1555" i="3" s="1"/>
  <c r="N1555" i="3"/>
  <c r="M1555" i="3"/>
  <c r="O1554" i="3" a="1"/>
  <c r="O1554" i="3" s="1"/>
  <c r="N1554" i="3"/>
  <c r="M1554" i="3"/>
  <c r="O1553" i="3"/>
  <c r="O1553" i="3" a="1"/>
  <c r="N1553" i="3"/>
  <c r="M1553" i="3"/>
  <c r="O1552" i="3" a="1"/>
  <c r="O1552" i="3" s="1"/>
  <c r="N1552" i="3"/>
  <c r="M1552" i="3"/>
  <c r="O1551" i="3" a="1"/>
  <c r="O1551" i="3" s="1"/>
  <c r="N1551" i="3"/>
  <c r="M1551" i="3"/>
  <c r="O1550" i="3" a="1"/>
  <c r="O1550" i="3" s="1"/>
  <c r="N1550" i="3"/>
  <c r="M1550" i="3"/>
  <c r="O1549" i="3"/>
  <c r="O1549" i="3" a="1"/>
  <c r="N1549" i="3"/>
  <c r="M1549" i="3"/>
  <c r="O1548" i="3" a="1"/>
  <c r="O1548" i="3" s="1"/>
  <c r="N1548" i="3"/>
  <c r="M1548" i="3"/>
  <c r="O1547" i="3"/>
  <c r="O1547" i="3" a="1"/>
  <c r="N1547" i="3"/>
  <c r="M1547" i="3"/>
  <c r="O1546" i="3" a="1"/>
  <c r="O1546" i="3" s="1"/>
  <c r="N1546" i="3"/>
  <c r="M1546" i="3"/>
  <c r="O1545" i="3"/>
  <c r="O1545" i="3" a="1"/>
  <c r="N1545" i="3"/>
  <c r="M1545" i="3"/>
  <c r="O1544" i="3" a="1"/>
  <c r="O1544" i="3" s="1"/>
  <c r="N1544" i="3"/>
  <c r="M1544" i="3"/>
  <c r="O1543" i="3"/>
  <c r="O1543" i="3" a="1"/>
  <c r="N1543" i="3"/>
  <c r="M1543" i="3"/>
  <c r="O1542" i="3" a="1"/>
  <c r="O1542" i="3" s="1"/>
  <c r="N1542" i="3"/>
  <c r="M1542" i="3"/>
  <c r="O1541" i="3" a="1"/>
  <c r="O1541" i="3" s="1"/>
  <c r="N1541" i="3"/>
  <c r="M1541" i="3"/>
  <c r="O1540" i="3" a="1"/>
  <c r="O1540" i="3" s="1"/>
  <c r="N1540" i="3"/>
  <c r="M1540" i="3"/>
  <c r="O1539" i="3" a="1"/>
  <c r="O1539" i="3" s="1"/>
  <c r="N1539" i="3"/>
  <c r="M1539" i="3"/>
  <c r="O1538" i="3" a="1"/>
  <c r="O1538" i="3" s="1"/>
  <c r="N1538" i="3"/>
  <c r="M1538" i="3"/>
  <c r="O1537" i="3"/>
  <c r="O1537" i="3" a="1"/>
  <c r="N1537" i="3"/>
  <c r="M1537" i="3"/>
  <c r="O1536" i="3" a="1"/>
  <c r="O1536" i="3" s="1"/>
  <c r="N1536" i="3"/>
  <c r="M1536" i="3"/>
  <c r="O1535" i="3" a="1"/>
  <c r="O1535" i="3" s="1"/>
  <c r="N1535" i="3"/>
  <c r="M1535" i="3"/>
  <c r="O1534" i="3" a="1"/>
  <c r="O1534" i="3" s="1"/>
  <c r="N1534" i="3"/>
  <c r="M1534" i="3"/>
  <c r="O1533" i="3"/>
  <c r="O1533" i="3" a="1"/>
  <c r="N1533" i="3"/>
  <c r="M1533" i="3"/>
  <c r="O1532" i="3" a="1"/>
  <c r="O1532" i="3" s="1"/>
  <c r="N1532" i="3"/>
  <c r="M1532" i="3"/>
  <c r="O1531" i="3"/>
  <c r="O1531" i="3" a="1"/>
  <c r="N1531" i="3"/>
  <c r="M1531" i="3"/>
  <c r="O1530" i="3" a="1"/>
  <c r="O1530" i="3" s="1"/>
  <c r="N1530" i="3"/>
  <c r="M1530" i="3"/>
  <c r="O1529" i="3"/>
  <c r="O1529" i="3" a="1"/>
  <c r="N1529" i="3"/>
  <c r="M1529" i="3"/>
  <c r="O1528" i="3" a="1"/>
  <c r="O1528" i="3" s="1"/>
  <c r="N1528" i="3"/>
  <c r="M1528" i="3"/>
  <c r="O1527" i="3"/>
  <c r="O1527" i="3" a="1"/>
  <c r="N1527" i="3"/>
  <c r="M1527" i="3"/>
  <c r="O1526" i="3" a="1"/>
  <c r="O1526" i="3" s="1"/>
  <c r="N1526" i="3"/>
  <c r="M1526" i="3"/>
  <c r="O1525" i="3" a="1"/>
  <c r="O1525" i="3" s="1"/>
  <c r="N1525" i="3"/>
  <c r="M1525" i="3"/>
  <c r="O1524" i="3" a="1"/>
  <c r="O1524" i="3" s="1"/>
  <c r="N1524" i="3"/>
  <c r="M1524" i="3"/>
  <c r="O1523" i="3" a="1"/>
  <c r="O1523" i="3" s="1"/>
  <c r="N1523" i="3"/>
  <c r="M1523" i="3"/>
  <c r="O1522" i="3" a="1"/>
  <c r="O1522" i="3" s="1"/>
  <c r="N1522" i="3"/>
  <c r="M1522" i="3"/>
  <c r="O1521" i="3"/>
  <c r="O1521" i="3" a="1"/>
  <c r="N1521" i="3"/>
  <c r="M1521" i="3"/>
  <c r="O1520" i="3" a="1"/>
  <c r="O1520" i="3" s="1"/>
  <c r="N1520" i="3"/>
  <c r="M1520" i="3"/>
  <c r="O1519" i="3" a="1"/>
  <c r="O1519" i="3" s="1"/>
  <c r="N1519" i="3"/>
  <c r="M1519" i="3"/>
  <c r="O1518" i="3" a="1"/>
  <c r="O1518" i="3" s="1"/>
  <c r="N1518" i="3"/>
  <c r="M1518" i="3"/>
  <c r="O1517" i="3"/>
  <c r="O1517" i="3" a="1"/>
  <c r="N1517" i="3"/>
  <c r="M1517" i="3"/>
  <c r="O1516" i="3" a="1"/>
  <c r="O1516" i="3" s="1"/>
  <c r="N1516" i="3"/>
  <c r="M1516" i="3"/>
  <c r="O1515" i="3"/>
  <c r="O1515" i="3" a="1"/>
  <c r="N1515" i="3"/>
  <c r="M1515" i="3"/>
  <c r="O1514" i="3" a="1"/>
  <c r="O1514" i="3" s="1"/>
  <c r="N1514" i="3"/>
  <c r="M1514" i="3"/>
  <c r="O1513" i="3"/>
  <c r="O1513" i="3" a="1"/>
  <c r="N1513" i="3"/>
  <c r="M1513" i="3"/>
  <c r="O1512" i="3" a="1"/>
  <c r="O1512" i="3" s="1"/>
  <c r="N1512" i="3"/>
  <c r="M1512" i="3"/>
  <c r="O1511" i="3" a="1"/>
  <c r="O1511" i="3" s="1"/>
  <c r="N1511" i="3"/>
  <c r="M1511" i="3"/>
  <c r="O1510" i="3" a="1"/>
  <c r="O1510" i="3" s="1"/>
  <c r="N1510" i="3"/>
  <c r="M1510" i="3"/>
  <c r="O1509" i="3" a="1"/>
  <c r="O1509" i="3" s="1"/>
  <c r="N1509" i="3"/>
  <c r="M1509" i="3"/>
  <c r="O1508" i="3" a="1"/>
  <c r="O1508" i="3" s="1"/>
  <c r="N1508" i="3"/>
  <c r="M1508" i="3"/>
  <c r="O1507" i="3" a="1"/>
  <c r="O1507" i="3" s="1"/>
  <c r="N1507" i="3"/>
  <c r="M1507" i="3"/>
  <c r="O1506" i="3" a="1"/>
  <c r="O1506" i="3" s="1"/>
  <c r="N1506" i="3"/>
  <c r="M1506" i="3"/>
  <c r="O1505" i="3"/>
  <c r="O1505" i="3" a="1"/>
  <c r="N1505" i="3"/>
  <c r="M1505" i="3"/>
  <c r="O1504" i="3" a="1"/>
  <c r="O1504" i="3" s="1"/>
  <c r="N1504" i="3"/>
  <c r="M1504" i="3"/>
  <c r="O1503" i="3" a="1"/>
  <c r="O1503" i="3" s="1"/>
  <c r="N1503" i="3"/>
  <c r="M1503" i="3"/>
  <c r="O1502" i="3" a="1"/>
  <c r="O1502" i="3" s="1"/>
  <c r="N1502" i="3"/>
  <c r="M1502" i="3"/>
  <c r="O1501" i="3"/>
  <c r="O1501" i="3" a="1"/>
  <c r="N1501" i="3"/>
  <c r="M1501" i="3"/>
  <c r="O1500" i="3" a="1"/>
  <c r="O1500" i="3" s="1"/>
  <c r="N1500" i="3"/>
  <c r="M1500" i="3"/>
  <c r="O1499" i="3"/>
  <c r="O1499" i="3" a="1"/>
  <c r="N1499" i="3"/>
  <c r="M1499" i="3"/>
  <c r="O1498" i="3" a="1"/>
  <c r="O1498" i="3" s="1"/>
  <c r="N1498" i="3"/>
  <c r="M1498" i="3"/>
  <c r="O1497" i="3"/>
  <c r="O1497" i="3" a="1"/>
  <c r="N1497" i="3"/>
  <c r="M1497" i="3"/>
  <c r="O1496" i="3" a="1"/>
  <c r="O1496" i="3" s="1"/>
  <c r="N1496" i="3"/>
  <c r="M1496" i="3"/>
  <c r="O1495" i="3"/>
  <c r="O1495" i="3" a="1"/>
  <c r="N1495" i="3"/>
  <c r="M1495" i="3"/>
  <c r="O1494" i="3" a="1"/>
  <c r="O1494" i="3" s="1"/>
  <c r="N1494" i="3"/>
  <c r="M1494" i="3"/>
  <c r="O1493" i="3" a="1"/>
  <c r="O1493" i="3" s="1"/>
  <c r="N1493" i="3"/>
  <c r="M1493" i="3"/>
  <c r="O1492" i="3" a="1"/>
  <c r="O1492" i="3" s="1"/>
  <c r="N1492" i="3"/>
  <c r="M1492" i="3"/>
  <c r="O1491" i="3" a="1"/>
  <c r="O1491" i="3" s="1"/>
  <c r="N1491" i="3"/>
  <c r="M1491" i="3"/>
  <c r="O1490" i="3" a="1"/>
  <c r="O1490" i="3" s="1"/>
  <c r="N1490" i="3"/>
  <c r="M1490" i="3"/>
  <c r="O1489" i="3"/>
  <c r="O1489" i="3" a="1"/>
  <c r="N1489" i="3"/>
  <c r="M1489" i="3"/>
  <c r="O1488" i="3" a="1"/>
  <c r="O1488" i="3" s="1"/>
  <c r="N1488" i="3"/>
  <c r="M1488" i="3"/>
  <c r="O1487" i="3" a="1"/>
  <c r="O1487" i="3" s="1"/>
  <c r="N1487" i="3"/>
  <c r="M1487" i="3"/>
  <c r="O1486" i="3" a="1"/>
  <c r="O1486" i="3" s="1"/>
  <c r="N1486" i="3"/>
  <c r="M1486" i="3"/>
  <c r="O1485" i="3"/>
  <c r="O1485" i="3" a="1"/>
  <c r="N1485" i="3"/>
  <c r="M1485" i="3"/>
  <c r="O1484" i="3" a="1"/>
  <c r="O1484" i="3" s="1"/>
  <c r="N1484" i="3"/>
  <c r="M1484" i="3"/>
  <c r="O1483" i="3"/>
  <c r="O1483" i="3" a="1"/>
  <c r="N1483" i="3"/>
  <c r="M1483" i="3"/>
  <c r="O1482" i="3" a="1"/>
  <c r="O1482" i="3" s="1"/>
  <c r="N1482" i="3"/>
  <c r="M1482" i="3"/>
  <c r="O1481" i="3"/>
  <c r="O1481" i="3" a="1"/>
  <c r="N1481" i="3"/>
  <c r="M1481" i="3"/>
  <c r="O1480" i="3" a="1"/>
  <c r="O1480" i="3" s="1"/>
  <c r="N1480" i="3"/>
  <c r="M1480" i="3"/>
  <c r="O1479" i="3"/>
  <c r="O1479" i="3" a="1"/>
  <c r="N1479" i="3"/>
  <c r="M1479" i="3"/>
  <c r="O1478" i="3" a="1"/>
  <c r="O1478" i="3" s="1"/>
  <c r="N1478" i="3"/>
  <c r="M1478" i="3"/>
  <c r="O1477" i="3"/>
  <c r="O1477" i="3" a="1"/>
  <c r="N1477" i="3"/>
  <c r="M1477" i="3"/>
  <c r="O1476" i="3" a="1"/>
  <c r="O1476" i="3" s="1"/>
  <c r="N1476" i="3"/>
  <c r="M1476" i="3"/>
  <c r="O1475" i="3" a="1"/>
  <c r="O1475" i="3" s="1"/>
  <c r="N1475" i="3"/>
  <c r="M1475" i="3"/>
  <c r="O1474" i="3" a="1"/>
  <c r="O1474" i="3" s="1"/>
  <c r="N1474" i="3"/>
  <c r="M1474" i="3"/>
  <c r="O1473" i="3"/>
  <c r="O1473" i="3" a="1"/>
  <c r="N1473" i="3"/>
  <c r="M1473" i="3"/>
  <c r="O1472" i="3" a="1"/>
  <c r="O1472" i="3" s="1"/>
  <c r="N1472" i="3"/>
  <c r="M1472" i="3"/>
  <c r="O1471" i="3" a="1"/>
  <c r="O1471" i="3" s="1"/>
  <c r="N1471" i="3"/>
  <c r="M1471" i="3"/>
  <c r="O1470" i="3" a="1"/>
  <c r="O1470" i="3" s="1"/>
  <c r="N1470" i="3"/>
  <c r="M1470" i="3"/>
  <c r="O1469" i="3"/>
  <c r="O1469" i="3" a="1"/>
  <c r="N1469" i="3"/>
  <c r="M1469" i="3"/>
  <c r="O1468" i="3" a="1"/>
  <c r="O1468" i="3" s="1"/>
  <c r="N1468" i="3"/>
  <c r="M1468" i="3"/>
  <c r="O1467" i="3"/>
  <c r="O1467" i="3" a="1"/>
  <c r="N1467" i="3"/>
  <c r="M1467" i="3"/>
  <c r="O1466" i="3" a="1"/>
  <c r="O1466" i="3" s="1"/>
  <c r="N1466" i="3"/>
  <c r="M1466" i="3"/>
  <c r="O1465" i="3"/>
  <c r="O1465" i="3" a="1"/>
  <c r="N1465" i="3"/>
  <c r="M1465" i="3"/>
  <c r="O1464" i="3" a="1"/>
  <c r="O1464" i="3" s="1"/>
  <c r="N1464" i="3"/>
  <c r="M1464" i="3"/>
  <c r="O1463" i="3" a="1"/>
  <c r="O1463" i="3" s="1"/>
  <c r="N1463" i="3"/>
  <c r="M1463" i="3"/>
  <c r="O1462" i="3" a="1"/>
  <c r="O1462" i="3" s="1"/>
  <c r="N1462" i="3"/>
  <c r="M1462" i="3"/>
  <c r="O1461" i="3" a="1"/>
  <c r="O1461" i="3" s="1"/>
  <c r="N1461" i="3"/>
  <c r="M1461" i="3"/>
  <c r="O1460" i="3" a="1"/>
  <c r="O1460" i="3" s="1"/>
  <c r="N1460" i="3"/>
  <c r="M1460" i="3"/>
  <c r="O1459" i="3" a="1"/>
  <c r="O1459" i="3" s="1"/>
  <c r="N1459" i="3"/>
  <c r="M1459" i="3"/>
  <c r="O1458" i="3" a="1"/>
  <c r="O1458" i="3" s="1"/>
  <c r="N1458" i="3"/>
  <c r="M1458" i="3"/>
  <c r="O1457" i="3"/>
  <c r="O1457" i="3" a="1"/>
  <c r="N1457" i="3"/>
  <c r="M1457" i="3"/>
  <c r="O1456" i="3" a="1"/>
  <c r="O1456" i="3" s="1"/>
  <c r="N1456" i="3"/>
  <c r="M1456" i="3"/>
  <c r="O1455" i="3" a="1"/>
  <c r="O1455" i="3" s="1"/>
  <c r="N1455" i="3"/>
  <c r="M1455" i="3"/>
  <c r="O1454" i="3" a="1"/>
  <c r="O1454" i="3" s="1"/>
  <c r="N1454" i="3"/>
  <c r="M1454" i="3"/>
  <c r="O1453" i="3"/>
  <c r="O1453" i="3" a="1"/>
  <c r="N1453" i="3"/>
  <c r="M1453" i="3"/>
  <c r="O1452" i="3" a="1"/>
  <c r="O1452" i="3" s="1"/>
  <c r="N1452" i="3"/>
  <c r="M1452" i="3"/>
  <c r="O1451" i="3"/>
  <c r="O1451" i="3" a="1"/>
  <c r="N1451" i="3"/>
  <c r="M1451" i="3"/>
  <c r="O1450" i="3" a="1"/>
  <c r="O1450" i="3" s="1"/>
  <c r="N1450" i="3"/>
  <c r="M1450" i="3"/>
  <c r="O1449" i="3"/>
  <c r="O1449" i="3" a="1"/>
  <c r="N1449" i="3"/>
  <c r="M1449" i="3"/>
  <c r="O1448" i="3" a="1"/>
  <c r="O1448" i="3" s="1"/>
  <c r="N1448" i="3"/>
  <c r="M1448" i="3"/>
  <c r="O1447" i="3"/>
  <c r="O1447" i="3" a="1"/>
  <c r="N1447" i="3"/>
  <c r="M1447" i="3"/>
  <c r="O1446" i="3" a="1"/>
  <c r="O1446" i="3" s="1"/>
  <c r="N1446" i="3"/>
  <c r="M1446" i="3"/>
  <c r="O1445" i="3"/>
  <c r="O1445" i="3" a="1"/>
  <c r="N1445" i="3"/>
  <c r="M1445" i="3"/>
  <c r="O1444" i="3"/>
  <c r="O1444" i="3" a="1"/>
  <c r="N1444" i="3"/>
  <c r="M1444" i="3"/>
  <c r="O1443" i="3"/>
  <c r="O1443" i="3" a="1"/>
  <c r="N1443" i="3"/>
  <c r="M1443" i="3"/>
  <c r="O1442" i="3"/>
  <c r="O1442" i="3" a="1"/>
  <c r="N1442" i="3"/>
  <c r="M1442" i="3"/>
  <c r="O1441" i="3"/>
  <c r="O1441" i="3" a="1"/>
  <c r="N1441" i="3"/>
  <c r="M1441" i="3"/>
  <c r="O1440" i="3"/>
  <c r="O1440" i="3" a="1"/>
  <c r="N1440" i="3"/>
  <c r="M1440" i="3"/>
  <c r="O1439" i="3"/>
  <c r="O1439" i="3" a="1"/>
  <c r="N1439" i="3"/>
  <c r="M1439" i="3"/>
  <c r="O1438" i="3"/>
  <c r="O1438" i="3" a="1"/>
  <c r="N1438" i="3"/>
  <c r="M1438" i="3"/>
  <c r="O1437" i="3"/>
  <c r="O1437" i="3" a="1"/>
  <c r="N1437" i="3"/>
  <c r="M1437" i="3"/>
  <c r="O1436" i="3"/>
  <c r="O1436" i="3" a="1"/>
  <c r="N1436" i="3"/>
  <c r="M1436" i="3"/>
  <c r="O1435" i="3"/>
  <c r="O1435" i="3" a="1"/>
  <c r="N1435" i="3"/>
  <c r="M1435" i="3"/>
  <c r="O1434" i="3"/>
  <c r="O1434" i="3" a="1"/>
  <c r="N1434" i="3"/>
  <c r="M1434" i="3"/>
  <c r="O1433" i="3"/>
  <c r="O1433" i="3" a="1"/>
  <c r="N1433" i="3"/>
  <c r="M1433" i="3"/>
  <c r="O1432" i="3"/>
  <c r="O1432" i="3" a="1"/>
  <c r="N1432" i="3"/>
  <c r="M1432" i="3"/>
  <c r="O1431" i="3" a="1"/>
  <c r="O1431" i="3" s="1"/>
  <c r="N1431" i="3"/>
  <c r="M1431" i="3"/>
  <c r="O1430" i="3"/>
  <c r="O1430" i="3" a="1"/>
  <c r="N1430" i="3"/>
  <c r="M1430" i="3"/>
  <c r="O1429" i="3" a="1"/>
  <c r="O1429" i="3" s="1"/>
  <c r="N1429" i="3"/>
  <c r="M1429" i="3"/>
  <c r="O1428" i="3"/>
  <c r="O1428" i="3" a="1"/>
  <c r="N1428" i="3"/>
  <c r="M1428" i="3"/>
  <c r="O1427" i="3" a="1"/>
  <c r="O1427" i="3" s="1"/>
  <c r="N1427" i="3"/>
  <c r="M1427" i="3"/>
  <c r="O1426" i="3"/>
  <c r="O1426" i="3" a="1"/>
  <c r="N1426" i="3"/>
  <c r="M1426" i="3"/>
  <c r="O1425" i="3" a="1"/>
  <c r="O1425" i="3" s="1"/>
  <c r="N1425" i="3"/>
  <c r="M1425" i="3"/>
  <c r="O1424" i="3"/>
  <c r="O1424" i="3" a="1"/>
  <c r="N1424" i="3"/>
  <c r="M1424" i="3"/>
  <c r="O1423" i="3" a="1"/>
  <c r="O1423" i="3" s="1"/>
  <c r="N1423" i="3"/>
  <c r="M1423" i="3"/>
  <c r="O1422" i="3"/>
  <c r="O1422" i="3" a="1"/>
  <c r="N1422" i="3"/>
  <c r="M1422" i="3"/>
  <c r="O1421" i="3" a="1"/>
  <c r="O1421" i="3" s="1"/>
  <c r="N1421" i="3"/>
  <c r="M1421" i="3"/>
  <c r="O1420" i="3"/>
  <c r="O1420" i="3" a="1"/>
  <c r="N1420" i="3"/>
  <c r="M1420" i="3"/>
  <c r="O1419" i="3" a="1"/>
  <c r="O1419" i="3" s="1"/>
  <c r="N1419" i="3"/>
  <c r="M1419" i="3"/>
  <c r="O1418" i="3"/>
  <c r="O1418" i="3" a="1"/>
  <c r="N1418" i="3"/>
  <c r="M1418" i="3"/>
  <c r="O1417" i="3" a="1"/>
  <c r="O1417" i="3" s="1"/>
  <c r="N1417" i="3"/>
  <c r="M1417" i="3"/>
  <c r="O1416" i="3"/>
  <c r="O1416" i="3" a="1"/>
  <c r="N1416" i="3"/>
  <c r="M1416" i="3"/>
  <c r="O1415" i="3" a="1"/>
  <c r="O1415" i="3" s="1"/>
  <c r="N1415" i="3"/>
  <c r="M1415" i="3"/>
  <c r="O1414" i="3"/>
  <c r="O1414" i="3" a="1"/>
  <c r="N1414" i="3"/>
  <c r="M1414" i="3"/>
  <c r="O1413" i="3" a="1"/>
  <c r="O1413" i="3" s="1"/>
  <c r="N1413" i="3"/>
  <c r="M1413" i="3"/>
  <c r="O1412" i="3"/>
  <c r="O1412" i="3" a="1"/>
  <c r="N1412" i="3"/>
  <c r="M1412" i="3"/>
  <c r="O1411" i="3" a="1"/>
  <c r="O1411" i="3" s="1"/>
  <c r="N1411" i="3"/>
  <c r="M1411" i="3"/>
  <c r="O1410" i="3"/>
  <c r="O1410" i="3" a="1"/>
  <c r="N1410" i="3"/>
  <c r="M1410" i="3"/>
  <c r="O1409" i="3" a="1"/>
  <c r="O1409" i="3" s="1"/>
  <c r="N1409" i="3"/>
  <c r="M1409" i="3"/>
  <c r="O1408" i="3"/>
  <c r="O1408" i="3" a="1"/>
  <c r="N1408" i="3"/>
  <c r="M1408" i="3"/>
  <c r="O1407" i="3" a="1"/>
  <c r="O1407" i="3" s="1"/>
  <c r="N1407" i="3"/>
  <c r="M1407" i="3"/>
  <c r="O1406" i="3"/>
  <c r="O1406" i="3" a="1"/>
  <c r="N1406" i="3"/>
  <c r="M1406" i="3"/>
  <c r="O1405" i="3" a="1"/>
  <c r="O1405" i="3" s="1"/>
  <c r="N1405" i="3"/>
  <c r="M1405" i="3"/>
  <c r="O1404" i="3"/>
  <c r="O1404" i="3" a="1"/>
  <c r="N1404" i="3"/>
  <c r="M1404" i="3"/>
  <c r="O1403" i="3" a="1"/>
  <c r="O1403" i="3" s="1"/>
  <c r="N1403" i="3"/>
  <c r="M1403" i="3"/>
  <c r="O1402" i="3"/>
  <c r="O1402" i="3" a="1"/>
  <c r="N1402" i="3"/>
  <c r="M1402" i="3"/>
  <c r="O1401" i="3" a="1"/>
  <c r="O1401" i="3" s="1"/>
  <c r="N1401" i="3"/>
  <c r="M1401" i="3"/>
  <c r="O1400" i="3"/>
  <c r="O1400" i="3" a="1"/>
  <c r="N1400" i="3"/>
  <c r="M1400" i="3"/>
  <c r="O1399" i="3" a="1"/>
  <c r="O1399" i="3" s="1"/>
  <c r="N1399" i="3"/>
  <c r="M1399" i="3"/>
  <c r="O1398" i="3"/>
  <c r="O1398" i="3" a="1"/>
  <c r="N1398" i="3"/>
  <c r="M1398" i="3"/>
  <c r="O1397" i="3" a="1"/>
  <c r="O1397" i="3" s="1"/>
  <c r="N1397" i="3"/>
  <c r="M1397" i="3"/>
  <c r="O1396" i="3"/>
  <c r="O1396" i="3" a="1"/>
  <c r="N1396" i="3"/>
  <c r="M1396" i="3"/>
  <c r="O1395" i="3" a="1"/>
  <c r="O1395" i="3" s="1"/>
  <c r="N1395" i="3"/>
  <c r="M1395" i="3"/>
  <c r="O1394" i="3"/>
  <c r="O1394" i="3" a="1"/>
  <c r="N1394" i="3"/>
  <c r="M1394" i="3"/>
  <c r="O1393" i="3" a="1"/>
  <c r="O1393" i="3" s="1"/>
  <c r="N1393" i="3"/>
  <c r="M1393" i="3"/>
  <c r="O1392" i="3"/>
  <c r="O1392" i="3" a="1"/>
  <c r="N1392" i="3"/>
  <c r="M1392" i="3"/>
  <c r="O1391" i="3" a="1"/>
  <c r="O1391" i="3" s="1"/>
  <c r="N1391" i="3"/>
  <c r="M1391" i="3"/>
  <c r="O1390" i="3"/>
  <c r="O1390" i="3" a="1"/>
  <c r="N1390" i="3"/>
  <c r="M1390" i="3"/>
  <c r="O1389" i="3" a="1"/>
  <c r="O1389" i="3" s="1"/>
  <c r="N1389" i="3"/>
  <c r="M1389" i="3"/>
  <c r="O1388" i="3"/>
  <c r="O1388" i="3" a="1"/>
  <c r="N1388" i="3"/>
  <c r="M1388" i="3"/>
  <c r="O1387" i="3" a="1"/>
  <c r="O1387" i="3" s="1"/>
  <c r="N1387" i="3"/>
  <c r="M1387" i="3"/>
  <c r="O1386" i="3"/>
  <c r="O1386" i="3" a="1"/>
  <c r="N1386" i="3"/>
  <c r="M1386" i="3"/>
  <c r="O1385" i="3" a="1"/>
  <c r="O1385" i="3" s="1"/>
  <c r="N1385" i="3"/>
  <c r="M1385" i="3"/>
  <c r="O1384" i="3"/>
  <c r="O1384" i="3" a="1"/>
  <c r="N1384" i="3"/>
  <c r="M1384" i="3"/>
  <c r="O1383" i="3" a="1"/>
  <c r="O1383" i="3" s="1"/>
  <c r="N1383" i="3"/>
  <c r="M1383" i="3"/>
  <c r="O1382" i="3"/>
  <c r="O1382" i="3" a="1"/>
  <c r="N1382" i="3"/>
  <c r="M1382" i="3"/>
  <c r="O1381" i="3" a="1"/>
  <c r="O1381" i="3" s="1"/>
  <c r="N1381" i="3"/>
  <c r="M1381" i="3"/>
  <c r="O1380" i="3"/>
  <c r="O1380" i="3" a="1"/>
  <c r="N1380" i="3"/>
  <c r="M1380" i="3"/>
  <c r="O1379" i="3" a="1"/>
  <c r="O1379" i="3" s="1"/>
  <c r="N1379" i="3"/>
  <c r="M1379" i="3"/>
  <c r="O1378" i="3"/>
  <c r="O1378" i="3" a="1"/>
  <c r="N1378" i="3"/>
  <c r="M1378" i="3"/>
  <c r="O1377" i="3" a="1"/>
  <c r="O1377" i="3" s="1"/>
  <c r="N1377" i="3"/>
  <c r="M1377" i="3"/>
  <c r="O1376" i="3"/>
  <c r="O1376" i="3" a="1"/>
  <c r="N1376" i="3"/>
  <c r="M1376" i="3"/>
  <c r="O1375" i="3" a="1"/>
  <c r="O1375" i="3" s="1"/>
  <c r="N1375" i="3"/>
  <c r="M1375" i="3"/>
  <c r="O1374" i="3"/>
  <c r="O1374" i="3" a="1"/>
  <c r="N1374" i="3"/>
  <c r="M1374" i="3"/>
  <c r="O1373" i="3" a="1"/>
  <c r="O1373" i="3" s="1"/>
  <c r="N1373" i="3"/>
  <c r="M1373" i="3"/>
  <c r="O1372" i="3"/>
  <c r="O1372" i="3" a="1"/>
  <c r="N1372" i="3"/>
  <c r="M1372" i="3"/>
  <c r="O1371" i="3" a="1"/>
  <c r="O1371" i="3" s="1"/>
  <c r="N1371" i="3"/>
  <c r="M1371" i="3"/>
  <c r="O1370" i="3"/>
  <c r="O1370" i="3" a="1"/>
  <c r="N1370" i="3"/>
  <c r="M1370" i="3"/>
  <c r="O1369" i="3" a="1"/>
  <c r="O1369" i="3" s="1"/>
  <c r="N1369" i="3"/>
  <c r="M1369" i="3"/>
  <c r="O1368" i="3"/>
  <c r="O1368" i="3" a="1"/>
  <c r="N1368" i="3"/>
  <c r="M1368" i="3"/>
  <c r="O1367" i="3" a="1"/>
  <c r="O1367" i="3" s="1"/>
  <c r="N1367" i="3"/>
  <c r="M1367" i="3"/>
  <c r="O1366" i="3"/>
  <c r="O1366" i="3" a="1"/>
  <c r="N1366" i="3"/>
  <c r="M1366" i="3"/>
  <c r="O1365" i="3" a="1"/>
  <c r="O1365" i="3" s="1"/>
  <c r="N1365" i="3"/>
  <c r="M1365" i="3"/>
  <c r="O1364" i="3"/>
  <c r="O1364" i="3" a="1"/>
  <c r="N1364" i="3"/>
  <c r="M1364" i="3"/>
  <c r="O1363" i="3" a="1"/>
  <c r="O1363" i="3" s="1"/>
  <c r="N1363" i="3"/>
  <c r="M1363" i="3"/>
  <c r="O1362" i="3"/>
  <c r="O1362" i="3" a="1"/>
  <c r="N1362" i="3"/>
  <c r="M1362" i="3"/>
  <c r="O1361" i="3" a="1"/>
  <c r="O1361" i="3" s="1"/>
  <c r="N1361" i="3"/>
  <c r="M1361" i="3"/>
  <c r="O1360" i="3"/>
  <c r="O1360" i="3" a="1"/>
  <c r="N1360" i="3"/>
  <c r="M1360" i="3"/>
  <c r="O1359" i="3" a="1"/>
  <c r="O1359" i="3" s="1"/>
  <c r="N1359" i="3"/>
  <c r="M1359" i="3"/>
  <c r="O1358" i="3"/>
  <c r="O1358" i="3" a="1"/>
  <c r="N1358" i="3"/>
  <c r="M1358" i="3"/>
  <c r="O1357" i="3" a="1"/>
  <c r="O1357" i="3" s="1"/>
  <c r="N1357" i="3"/>
  <c r="M1357" i="3"/>
  <c r="O1356" i="3"/>
  <c r="O1356" i="3" a="1"/>
  <c r="N1356" i="3"/>
  <c r="M1356" i="3"/>
  <c r="O1355" i="3" a="1"/>
  <c r="O1355" i="3" s="1"/>
  <c r="N1355" i="3"/>
  <c r="M1355" i="3"/>
  <c r="O1354" i="3"/>
  <c r="O1354" i="3" a="1"/>
  <c r="N1354" i="3"/>
  <c r="M1354" i="3"/>
  <c r="O1353" i="3" a="1"/>
  <c r="O1353" i="3" s="1"/>
  <c r="N1353" i="3"/>
  <c r="M1353" i="3"/>
  <c r="O1352" i="3"/>
  <c r="O1352" i="3" a="1"/>
  <c r="N1352" i="3"/>
  <c r="M1352" i="3"/>
  <c r="O1351" i="3" a="1"/>
  <c r="O1351" i="3" s="1"/>
  <c r="N1351" i="3"/>
  <c r="M1351" i="3"/>
  <c r="O1350" i="3"/>
  <c r="O1350" i="3" a="1"/>
  <c r="N1350" i="3"/>
  <c r="M1350" i="3"/>
  <c r="O1349" i="3" a="1"/>
  <c r="O1349" i="3" s="1"/>
  <c r="N1349" i="3"/>
  <c r="M1349" i="3"/>
  <c r="O1348" i="3"/>
  <c r="O1348" i="3" a="1"/>
  <c r="N1348" i="3"/>
  <c r="M1348" i="3"/>
  <c r="O1347" i="3" a="1"/>
  <c r="O1347" i="3" s="1"/>
  <c r="N1347" i="3"/>
  <c r="M1347" i="3"/>
  <c r="O1346" i="3"/>
  <c r="O1346" i="3" a="1"/>
  <c r="N1346" i="3"/>
  <c r="M1346" i="3"/>
  <c r="O1345" i="3" a="1"/>
  <c r="O1345" i="3" s="1"/>
  <c r="N1345" i="3"/>
  <c r="M1345" i="3"/>
  <c r="O1344" i="3"/>
  <c r="O1344" i="3" a="1"/>
  <c r="N1344" i="3"/>
  <c r="M1344" i="3"/>
  <c r="O1343" i="3" a="1"/>
  <c r="O1343" i="3" s="1"/>
  <c r="N1343" i="3"/>
  <c r="M1343" i="3"/>
  <c r="O1342" i="3"/>
  <c r="O1342" i="3" a="1"/>
  <c r="N1342" i="3"/>
  <c r="M1342" i="3"/>
  <c r="O1341" i="3" a="1"/>
  <c r="O1341" i="3" s="1"/>
  <c r="N1341" i="3"/>
  <c r="M1341" i="3"/>
  <c r="O1340" i="3"/>
  <c r="O1340" i="3" a="1"/>
  <c r="N1340" i="3"/>
  <c r="M1340" i="3"/>
  <c r="O1339" i="3" a="1"/>
  <c r="O1339" i="3" s="1"/>
  <c r="N1339" i="3"/>
  <c r="M1339" i="3"/>
  <c r="O1338" i="3"/>
  <c r="O1338" i="3" a="1"/>
  <c r="N1338" i="3"/>
  <c r="M1338" i="3"/>
  <c r="O1337" i="3" a="1"/>
  <c r="O1337" i="3" s="1"/>
  <c r="N1337" i="3"/>
  <c r="M1337" i="3"/>
  <c r="O1336" i="3"/>
  <c r="O1336" i="3" a="1"/>
  <c r="N1336" i="3"/>
  <c r="M1336" i="3"/>
  <c r="O1335" i="3" a="1"/>
  <c r="O1335" i="3" s="1"/>
  <c r="N1335" i="3"/>
  <c r="M1335" i="3"/>
  <c r="O1334" i="3"/>
  <c r="O1334" i="3" a="1"/>
  <c r="N1334" i="3"/>
  <c r="M1334" i="3"/>
  <c r="O1333" i="3" a="1"/>
  <c r="O1333" i="3" s="1"/>
  <c r="N1333" i="3"/>
  <c r="M1333" i="3"/>
  <c r="O1332" i="3"/>
  <c r="O1332" i="3" a="1"/>
  <c r="N1332" i="3"/>
  <c r="M1332" i="3"/>
  <c r="O1331" i="3" a="1"/>
  <c r="O1331" i="3" s="1"/>
  <c r="N1331" i="3"/>
  <c r="M1331" i="3"/>
  <c r="O1330" i="3"/>
  <c r="O1330" i="3" a="1"/>
  <c r="N1330" i="3"/>
  <c r="M1330" i="3"/>
  <c r="O1329" i="3" a="1"/>
  <c r="O1329" i="3" s="1"/>
  <c r="N1329" i="3"/>
  <c r="M1329" i="3"/>
  <c r="O1328" i="3" a="1"/>
  <c r="O1328" i="3" s="1"/>
  <c r="N1328" i="3"/>
  <c r="M1328" i="3"/>
  <c r="O1327" i="3" a="1"/>
  <c r="O1327" i="3" s="1"/>
  <c r="N1327" i="3"/>
  <c r="M1327" i="3"/>
  <c r="O1326" i="3" a="1"/>
  <c r="O1326" i="3" s="1"/>
  <c r="N1326" i="3"/>
  <c r="M1326" i="3"/>
  <c r="O1325" i="3"/>
  <c r="O1325" i="3" a="1"/>
  <c r="N1325" i="3"/>
  <c r="M1325" i="3"/>
  <c r="O1324" i="3" a="1"/>
  <c r="O1324" i="3" s="1"/>
  <c r="N1324" i="3"/>
  <c r="M1324" i="3"/>
  <c r="O1323" i="3" a="1"/>
  <c r="O1323" i="3" s="1"/>
  <c r="N1323" i="3"/>
  <c r="M1323" i="3"/>
  <c r="O1322" i="3" a="1"/>
  <c r="O1322" i="3" s="1"/>
  <c r="N1322" i="3"/>
  <c r="M1322" i="3"/>
  <c r="O1321" i="3"/>
  <c r="O1321" i="3" a="1"/>
  <c r="N1321" i="3"/>
  <c r="M1321" i="3"/>
  <c r="O1320" i="3" a="1"/>
  <c r="O1320" i="3" s="1"/>
  <c r="N1320" i="3"/>
  <c r="M1320" i="3"/>
  <c r="O1319" i="3" a="1"/>
  <c r="O1319" i="3" s="1"/>
  <c r="N1319" i="3"/>
  <c r="M1319" i="3"/>
  <c r="O1318" i="3" a="1"/>
  <c r="O1318" i="3" s="1"/>
  <c r="N1318" i="3"/>
  <c r="M1318" i="3"/>
  <c r="O1317" i="3" a="1"/>
  <c r="O1317" i="3" s="1"/>
  <c r="N1317" i="3"/>
  <c r="M1317" i="3"/>
  <c r="O1316" i="3" a="1"/>
  <c r="O1316" i="3" s="1"/>
  <c r="N1316" i="3"/>
  <c r="M1316" i="3"/>
  <c r="O1315" i="3"/>
  <c r="O1315" i="3" a="1"/>
  <c r="N1315" i="3"/>
  <c r="M1315" i="3"/>
  <c r="O1314" i="3" a="1"/>
  <c r="O1314" i="3" s="1"/>
  <c r="N1314" i="3"/>
  <c r="M1314" i="3"/>
  <c r="O1313" i="3" a="1"/>
  <c r="O1313" i="3" s="1"/>
  <c r="N1313" i="3"/>
  <c r="M1313" i="3"/>
  <c r="O1312" i="3" a="1"/>
  <c r="O1312" i="3" s="1"/>
  <c r="N1312" i="3"/>
  <c r="M1312" i="3"/>
  <c r="O1311" i="3" a="1"/>
  <c r="O1311" i="3" s="1"/>
  <c r="N1311" i="3"/>
  <c r="M1311" i="3"/>
  <c r="O1310" i="3" a="1"/>
  <c r="O1310" i="3" s="1"/>
  <c r="N1310" i="3"/>
  <c r="M1310" i="3"/>
  <c r="O1309" i="3"/>
  <c r="O1309" i="3" a="1"/>
  <c r="N1309" i="3"/>
  <c r="M1309" i="3"/>
  <c r="O1308" i="3" a="1"/>
  <c r="O1308" i="3" s="1"/>
  <c r="N1308" i="3"/>
  <c r="M1308" i="3"/>
  <c r="O1307" i="3" a="1"/>
  <c r="O1307" i="3" s="1"/>
  <c r="N1307" i="3"/>
  <c r="M1307" i="3"/>
  <c r="O1306" i="3" a="1"/>
  <c r="O1306" i="3" s="1"/>
  <c r="N1306" i="3"/>
  <c r="M1306" i="3"/>
  <c r="O1305" i="3"/>
  <c r="O1305" i="3" a="1"/>
  <c r="N1305" i="3"/>
  <c r="M1305" i="3"/>
  <c r="O1304" i="3" a="1"/>
  <c r="O1304" i="3" s="1"/>
  <c r="N1304" i="3"/>
  <c r="M1304" i="3"/>
  <c r="O1303" i="3" a="1"/>
  <c r="O1303" i="3" s="1"/>
  <c r="N1303" i="3"/>
  <c r="M1303" i="3"/>
  <c r="O1302" i="3" a="1"/>
  <c r="O1302" i="3" s="1"/>
  <c r="N1302" i="3"/>
  <c r="M1302" i="3"/>
  <c r="O1301" i="3" a="1"/>
  <c r="O1301" i="3" s="1"/>
  <c r="N1301" i="3"/>
  <c r="M1301" i="3"/>
  <c r="O1300" i="3" a="1"/>
  <c r="O1300" i="3" s="1"/>
  <c r="N1300" i="3"/>
  <c r="M1300" i="3"/>
  <c r="O1299" i="3"/>
  <c r="O1299" i="3" a="1"/>
  <c r="N1299" i="3"/>
  <c r="M1299" i="3"/>
  <c r="O1298" i="3" a="1"/>
  <c r="O1298" i="3" s="1"/>
  <c r="N1298" i="3"/>
  <c r="M1298" i="3"/>
  <c r="O1297" i="3" a="1"/>
  <c r="O1297" i="3" s="1"/>
  <c r="N1297" i="3"/>
  <c r="M1297" i="3"/>
  <c r="O1296" i="3" a="1"/>
  <c r="O1296" i="3" s="1"/>
  <c r="N1296" i="3"/>
  <c r="M1296" i="3"/>
  <c r="O1295" i="3" a="1"/>
  <c r="O1295" i="3" s="1"/>
  <c r="N1295" i="3"/>
  <c r="M1295" i="3"/>
  <c r="O1294" i="3" a="1"/>
  <c r="O1294" i="3" s="1"/>
  <c r="N1294" i="3"/>
  <c r="M1294" i="3"/>
  <c r="O1293" i="3"/>
  <c r="O1293" i="3" a="1"/>
  <c r="N1293" i="3"/>
  <c r="M1293" i="3"/>
  <c r="O1292" i="3" a="1"/>
  <c r="O1292" i="3" s="1"/>
  <c r="N1292" i="3"/>
  <c r="M1292" i="3"/>
  <c r="O1291" i="3" a="1"/>
  <c r="O1291" i="3" s="1"/>
  <c r="N1291" i="3"/>
  <c r="M1291" i="3"/>
  <c r="O1290" i="3" a="1"/>
  <c r="O1290" i="3" s="1"/>
  <c r="N1290" i="3"/>
  <c r="M1290" i="3"/>
  <c r="O1289" i="3"/>
  <c r="O1289" i="3" a="1"/>
  <c r="N1289" i="3"/>
  <c r="M1289" i="3"/>
  <c r="O1288" i="3" a="1"/>
  <c r="O1288" i="3" s="1"/>
  <c r="N1288" i="3"/>
  <c r="M1288" i="3"/>
  <c r="O1287" i="3" a="1"/>
  <c r="O1287" i="3" s="1"/>
  <c r="N1287" i="3"/>
  <c r="M1287" i="3"/>
  <c r="O1286" i="3" a="1"/>
  <c r="O1286" i="3" s="1"/>
  <c r="N1286" i="3"/>
  <c r="M1286" i="3"/>
  <c r="O1285" i="3" a="1"/>
  <c r="O1285" i="3" s="1"/>
  <c r="N1285" i="3"/>
  <c r="M1285" i="3"/>
  <c r="O1284" i="3" a="1"/>
  <c r="O1284" i="3" s="1"/>
  <c r="N1284" i="3"/>
  <c r="M1284" i="3"/>
  <c r="O1283" i="3"/>
  <c r="O1283" i="3" a="1"/>
  <c r="N1283" i="3"/>
  <c r="M1283" i="3"/>
  <c r="O1282" i="3" a="1"/>
  <c r="O1282" i="3" s="1"/>
  <c r="N1282" i="3"/>
  <c r="M1282" i="3"/>
  <c r="O1281" i="3" a="1"/>
  <c r="O1281" i="3" s="1"/>
  <c r="N1281" i="3"/>
  <c r="M1281" i="3"/>
  <c r="O1280" i="3" a="1"/>
  <c r="O1280" i="3" s="1"/>
  <c r="N1280" i="3"/>
  <c r="M1280" i="3"/>
  <c r="O1279" i="3" a="1"/>
  <c r="O1279" i="3" s="1"/>
  <c r="N1279" i="3"/>
  <c r="M1279" i="3"/>
  <c r="O1278" i="3" a="1"/>
  <c r="O1278" i="3" s="1"/>
  <c r="N1278" i="3"/>
  <c r="M1278" i="3"/>
  <c r="O1277" i="3"/>
  <c r="O1277" i="3" a="1"/>
  <c r="N1277" i="3"/>
  <c r="M1277" i="3"/>
  <c r="O1276" i="3" a="1"/>
  <c r="O1276" i="3" s="1"/>
  <c r="N1276" i="3"/>
  <c r="M1276" i="3"/>
  <c r="O1275" i="3" a="1"/>
  <c r="O1275" i="3" s="1"/>
  <c r="N1275" i="3"/>
  <c r="M1275" i="3"/>
  <c r="O1274" i="3" a="1"/>
  <c r="O1274" i="3" s="1"/>
  <c r="N1274" i="3"/>
  <c r="M1274" i="3"/>
  <c r="O1273" i="3"/>
  <c r="O1273" i="3" a="1"/>
  <c r="N1273" i="3"/>
  <c r="M1273" i="3"/>
  <c r="O1272" i="3" a="1"/>
  <c r="O1272" i="3" s="1"/>
  <c r="N1272" i="3"/>
  <c r="M1272" i="3"/>
  <c r="O1271" i="3" a="1"/>
  <c r="O1271" i="3" s="1"/>
  <c r="N1271" i="3"/>
  <c r="M1271" i="3"/>
  <c r="O1270" i="3" a="1"/>
  <c r="O1270" i="3" s="1"/>
  <c r="N1270" i="3"/>
  <c r="M1270" i="3"/>
  <c r="O1269" i="3" a="1"/>
  <c r="O1269" i="3" s="1"/>
  <c r="N1269" i="3"/>
  <c r="M1269" i="3"/>
  <c r="O1268" i="3" a="1"/>
  <c r="O1268" i="3" s="1"/>
  <c r="N1268" i="3"/>
  <c r="M1268" i="3"/>
  <c r="O1267" i="3"/>
  <c r="O1267" i="3" a="1"/>
  <c r="N1267" i="3"/>
  <c r="M1267" i="3"/>
  <c r="O1266" i="3" a="1"/>
  <c r="O1266" i="3" s="1"/>
  <c r="N1266" i="3"/>
  <c r="M1266" i="3"/>
  <c r="O1265" i="3" a="1"/>
  <c r="O1265" i="3" s="1"/>
  <c r="N1265" i="3"/>
  <c r="M1265" i="3"/>
  <c r="O1264" i="3" a="1"/>
  <c r="O1264" i="3" s="1"/>
  <c r="N1264" i="3"/>
  <c r="M1264" i="3"/>
  <c r="O1263" i="3" a="1"/>
  <c r="O1263" i="3" s="1"/>
  <c r="N1263" i="3"/>
  <c r="M1263" i="3"/>
  <c r="O1262" i="3" a="1"/>
  <c r="O1262" i="3" s="1"/>
  <c r="N1262" i="3"/>
  <c r="M1262" i="3"/>
  <c r="O1261" i="3"/>
  <c r="O1261" i="3" a="1"/>
  <c r="N1261" i="3"/>
  <c r="M1261" i="3"/>
  <c r="O1260" i="3" a="1"/>
  <c r="O1260" i="3" s="1"/>
  <c r="N1260" i="3"/>
  <c r="M1260" i="3"/>
  <c r="O1259" i="3" a="1"/>
  <c r="O1259" i="3" s="1"/>
  <c r="N1259" i="3"/>
  <c r="M1259" i="3"/>
  <c r="O1258" i="3" a="1"/>
  <c r="O1258" i="3" s="1"/>
  <c r="N1258" i="3"/>
  <c r="M1258" i="3"/>
  <c r="O1257" i="3"/>
  <c r="O1257" i="3" a="1"/>
  <c r="N1257" i="3"/>
  <c r="M1257" i="3"/>
  <c r="O1256" i="3" a="1"/>
  <c r="O1256" i="3" s="1"/>
  <c r="N1256" i="3"/>
  <c r="M1256" i="3"/>
  <c r="O1255" i="3" a="1"/>
  <c r="O1255" i="3" s="1"/>
  <c r="N1255" i="3"/>
  <c r="M1255" i="3"/>
  <c r="O1254" i="3" a="1"/>
  <c r="O1254" i="3" s="1"/>
  <c r="N1254" i="3"/>
  <c r="M1254" i="3"/>
  <c r="O1253" i="3" a="1"/>
  <c r="O1253" i="3" s="1"/>
  <c r="N1253" i="3"/>
  <c r="M1253" i="3"/>
  <c r="O1252" i="3" a="1"/>
  <c r="O1252" i="3" s="1"/>
  <c r="N1252" i="3"/>
  <c r="M1252" i="3"/>
  <c r="O1251" i="3"/>
  <c r="O1251" i="3" a="1"/>
  <c r="N1251" i="3"/>
  <c r="M1251" i="3"/>
  <c r="O1250" i="3" a="1"/>
  <c r="O1250" i="3" s="1"/>
  <c r="N1250" i="3"/>
  <c r="M1250" i="3"/>
  <c r="O1249" i="3" a="1"/>
  <c r="O1249" i="3" s="1"/>
  <c r="N1249" i="3"/>
  <c r="M1249" i="3"/>
  <c r="O1248" i="3" a="1"/>
  <c r="O1248" i="3" s="1"/>
  <c r="N1248" i="3"/>
  <c r="M1248" i="3"/>
  <c r="O1247" i="3" a="1"/>
  <c r="O1247" i="3" s="1"/>
  <c r="N1247" i="3"/>
  <c r="M1247" i="3"/>
  <c r="O1246" i="3" a="1"/>
  <c r="O1246" i="3" s="1"/>
  <c r="N1246" i="3"/>
  <c r="M1246" i="3"/>
  <c r="O1245" i="3"/>
  <c r="O1245" i="3" a="1"/>
  <c r="N1245" i="3"/>
  <c r="M1245" i="3"/>
  <c r="O1244" i="3" a="1"/>
  <c r="O1244" i="3" s="1"/>
  <c r="N1244" i="3"/>
  <c r="M1244" i="3"/>
  <c r="O1243" i="3" a="1"/>
  <c r="O1243" i="3" s="1"/>
  <c r="N1243" i="3"/>
  <c r="M1243" i="3"/>
  <c r="O1242" i="3" a="1"/>
  <c r="O1242" i="3" s="1"/>
  <c r="N1242" i="3"/>
  <c r="M1242" i="3"/>
  <c r="O1241" i="3"/>
  <c r="O1241" i="3" a="1"/>
  <c r="N1241" i="3"/>
  <c r="M1241" i="3"/>
  <c r="O1240" i="3" a="1"/>
  <c r="O1240" i="3" s="1"/>
  <c r="N1240" i="3"/>
  <c r="M1240" i="3"/>
  <c r="O1239" i="3" a="1"/>
  <c r="O1239" i="3" s="1"/>
  <c r="N1239" i="3"/>
  <c r="M1239" i="3"/>
  <c r="O1238" i="3" a="1"/>
  <c r="O1238" i="3" s="1"/>
  <c r="N1238" i="3"/>
  <c r="M1238" i="3"/>
  <c r="O1237" i="3" a="1"/>
  <c r="O1237" i="3" s="1"/>
  <c r="N1237" i="3"/>
  <c r="M1237" i="3"/>
  <c r="O1236" i="3" a="1"/>
  <c r="O1236" i="3" s="1"/>
  <c r="N1236" i="3"/>
  <c r="M1236" i="3"/>
  <c r="O1235" i="3"/>
  <c r="O1235" i="3" a="1"/>
  <c r="N1235" i="3"/>
  <c r="M1235" i="3"/>
  <c r="O1234" i="3" a="1"/>
  <c r="O1234" i="3" s="1"/>
  <c r="N1234" i="3"/>
  <c r="M1234" i="3"/>
  <c r="O1233" i="3" a="1"/>
  <c r="O1233" i="3" s="1"/>
  <c r="N1233" i="3"/>
  <c r="M1233" i="3"/>
  <c r="O1232" i="3" a="1"/>
  <c r="O1232" i="3" s="1"/>
  <c r="N1232" i="3"/>
  <c r="M1232" i="3"/>
  <c r="O1231" i="3" a="1"/>
  <c r="O1231" i="3" s="1"/>
  <c r="N1231" i="3"/>
  <c r="M1231" i="3"/>
  <c r="O1230" i="3" a="1"/>
  <c r="O1230" i="3" s="1"/>
  <c r="N1230" i="3"/>
  <c r="M1230" i="3"/>
  <c r="O1229" i="3"/>
  <c r="O1229" i="3" a="1"/>
  <c r="N1229" i="3"/>
  <c r="M1229" i="3"/>
  <c r="O1228" i="3" a="1"/>
  <c r="O1228" i="3" s="1"/>
  <c r="N1228" i="3"/>
  <c r="M1228" i="3"/>
  <c r="O1227" i="3" a="1"/>
  <c r="O1227" i="3" s="1"/>
  <c r="N1227" i="3"/>
  <c r="M1227" i="3"/>
  <c r="O1226" i="3" a="1"/>
  <c r="O1226" i="3" s="1"/>
  <c r="N1226" i="3"/>
  <c r="M1226" i="3"/>
  <c r="O1225" i="3"/>
  <c r="O1225" i="3" a="1"/>
  <c r="N1225" i="3"/>
  <c r="M1225" i="3"/>
  <c r="O1224" i="3" a="1"/>
  <c r="O1224" i="3" s="1"/>
  <c r="N1224" i="3"/>
  <c r="M1224" i="3"/>
  <c r="O1223" i="3" a="1"/>
  <c r="O1223" i="3" s="1"/>
  <c r="N1223" i="3"/>
  <c r="M1223" i="3"/>
  <c r="O1222" i="3" a="1"/>
  <c r="O1222" i="3" s="1"/>
  <c r="N1222" i="3"/>
  <c r="M1222" i="3"/>
  <c r="O1221" i="3" a="1"/>
  <c r="O1221" i="3" s="1"/>
  <c r="N1221" i="3"/>
  <c r="M1221" i="3"/>
  <c r="O1220" i="3" a="1"/>
  <c r="O1220" i="3" s="1"/>
  <c r="N1220" i="3"/>
  <c r="M1220" i="3"/>
  <c r="O1219" i="3"/>
  <c r="O1219" i="3" a="1"/>
  <c r="N1219" i="3"/>
  <c r="M1219" i="3"/>
  <c r="O1218" i="3" a="1"/>
  <c r="O1218" i="3" s="1"/>
  <c r="N1218" i="3"/>
  <c r="M1218" i="3"/>
  <c r="O1217" i="3" a="1"/>
  <c r="O1217" i="3" s="1"/>
  <c r="N1217" i="3"/>
  <c r="M1217" i="3"/>
  <c r="O1216" i="3" a="1"/>
  <c r="O1216" i="3" s="1"/>
  <c r="N1216" i="3"/>
  <c r="M1216" i="3"/>
  <c r="O1215" i="3" a="1"/>
  <c r="O1215" i="3" s="1"/>
  <c r="N1215" i="3"/>
  <c r="M1215" i="3"/>
  <c r="O1214" i="3" a="1"/>
  <c r="O1214" i="3" s="1"/>
  <c r="N1214" i="3"/>
  <c r="M1214" i="3"/>
  <c r="O1213" i="3"/>
  <c r="O1213" i="3" a="1"/>
  <c r="N1213" i="3"/>
  <c r="M1213" i="3"/>
  <c r="O1212" i="3" a="1"/>
  <c r="O1212" i="3" s="1"/>
  <c r="N1212" i="3"/>
  <c r="M1212" i="3"/>
  <c r="O1211" i="3" a="1"/>
  <c r="O1211" i="3" s="1"/>
  <c r="N1211" i="3"/>
  <c r="M1211" i="3"/>
  <c r="O1210" i="3" a="1"/>
  <c r="O1210" i="3" s="1"/>
  <c r="N1210" i="3"/>
  <c r="M1210" i="3"/>
  <c r="O1209" i="3"/>
  <c r="O1209" i="3" a="1"/>
  <c r="N1209" i="3"/>
  <c r="M1209" i="3"/>
  <c r="O1208" i="3" a="1"/>
  <c r="O1208" i="3" s="1"/>
  <c r="N1208" i="3"/>
  <c r="M1208" i="3"/>
  <c r="O1207" i="3" a="1"/>
  <c r="O1207" i="3" s="1"/>
  <c r="N1207" i="3"/>
  <c r="M1207" i="3"/>
  <c r="O1206" i="3" a="1"/>
  <c r="O1206" i="3" s="1"/>
  <c r="N1206" i="3"/>
  <c r="M1206" i="3"/>
  <c r="O1205" i="3" a="1"/>
  <c r="O1205" i="3" s="1"/>
  <c r="N1205" i="3"/>
  <c r="M1205" i="3"/>
  <c r="O1204" i="3" a="1"/>
  <c r="O1204" i="3" s="1"/>
  <c r="N1204" i="3"/>
  <c r="M1204" i="3"/>
  <c r="O1203" i="3"/>
  <c r="O1203" i="3" a="1"/>
  <c r="N1203" i="3"/>
  <c r="M1203" i="3"/>
  <c r="O1202" i="3" a="1"/>
  <c r="O1202" i="3" s="1"/>
  <c r="N1202" i="3"/>
  <c r="M1202" i="3"/>
  <c r="O1201" i="3" a="1"/>
  <c r="O1201" i="3" s="1"/>
  <c r="N1201" i="3"/>
  <c r="M1201" i="3"/>
  <c r="O1200" i="3" a="1"/>
  <c r="O1200" i="3" s="1"/>
  <c r="N1200" i="3"/>
  <c r="M1200" i="3"/>
  <c r="O1199" i="3" a="1"/>
  <c r="O1199" i="3" s="1"/>
  <c r="N1199" i="3"/>
  <c r="M1199" i="3"/>
  <c r="O1198" i="3" a="1"/>
  <c r="O1198" i="3" s="1"/>
  <c r="N1198" i="3"/>
  <c r="M1198" i="3"/>
  <c r="O1197" i="3"/>
  <c r="O1197" i="3" a="1"/>
  <c r="N1197" i="3"/>
  <c r="M1197" i="3"/>
  <c r="O1196" i="3" a="1"/>
  <c r="O1196" i="3" s="1"/>
  <c r="N1196" i="3"/>
  <c r="M1196" i="3"/>
  <c r="O1195" i="3" a="1"/>
  <c r="O1195" i="3" s="1"/>
  <c r="N1195" i="3"/>
  <c r="M1195" i="3"/>
  <c r="O1194" i="3" a="1"/>
  <c r="O1194" i="3" s="1"/>
  <c r="N1194" i="3"/>
  <c r="M1194" i="3"/>
  <c r="O1193" i="3"/>
  <c r="O1193" i="3" a="1"/>
  <c r="N1193" i="3"/>
  <c r="M1193" i="3"/>
  <c r="O1192" i="3" a="1"/>
  <c r="O1192" i="3" s="1"/>
  <c r="N1192" i="3"/>
  <c r="M1192" i="3"/>
  <c r="O1191" i="3" a="1"/>
  <c r="O1191" i="3" s="1"/>
  <c r="N1191" i="3"/>
  <c r="M1191" i="3"/>
  <c r="O1190" i="3" a="1"/>
  <c r="O1190" i="3" s="1"/>
  <c r="N1190" i="3"/>
  <c r="M1190" i="3"/>
  <c r="O1189" i="3" a="1"/>
  <c r="O1189" i="3" s="1"/>
  <c r="N1189" i="3"/>
  <c r="M1189" i="3"/>
  <c r="O1188" i="3" a="1"/>
  <c r="O1188" i="3" s="1"/>
  <c r="N1188" i="3"/>
  <c r="M1188" i="3"/>
  <c r="O1187" i="3"/>
  <c r="O1187" i="3" a="1"/>
  <c r="N1187" i="3"/>
  <c r="M1187" i="3"/>
  <c r="O1186" i="3" a="1"/>
  <c r="O1186" i="3" s="1"/>
  <c r="N1186" i="3"/>
  <c r="M1186" i="3"/>
  <c r="O1185" i="3" a="1"/>
  <c r="O1185" i="3" s="1"/>
  <c r="N1185" i="3"/>
  <c r="M1185" i="3"/>
  <c r="O1184" i="3" a="1"/>
  <c r="O1184" i="3" s="1"/>
  <c r="N1184" i="3"/>
  <c r="M1184" i="3"/>
  <c r="O1183" i="3" a="1"/>
  <c r="O1183" i="3" s="1"/>
  <c r="N1183" i="3"/>
  <c r="M1183" i="3"/>
  <c r="O1182" i="3" a="1"/>
  <c r="O1182" i="3" s="1"/>
  <c r="N1182" i="3"/>
  <c r="M1182" i="3"/>
  <c r="O1181" i="3"/>
  <c r="O1181" i="3" a="1"/>
  <c r="N1181" i="3"/>
  <c r="M1181" i="3"/>
  <c r="O1180" i="3" a="1"/>
  <c r="O1180" i="3" s="1"/>
  <c r="N1180" i="3"/>
  <c r="M1180" i="3"/>
  <c r="O1179" i="3" a="1"/>
  <c r="O1179" i="3" s="1"/>
  <c r="N1179" i="3"/>
  <c r="M1179" i="3"/>
  <c r="O1178" i="3" a="1"/>
  <c r="O1178" i="3" s="1"/>
  <c r="N1178" i="3"/>
  <c r="M1178" i="3"/>
  <c r="O1177" i="3"/>
  <c r="O1177" i="3" a="1"/>
  <c r="N1177" i="3"/>
  <c r="M1177" i="3"/>
  <c r="O1176" i="3" a="1"/>
  <c r="O1176" i="3" s="1"/>
  <c r="N1176" i="3"/>
  <c r="M1176" i="3"/>
  <c r="O1175" i="3" a="1"/>
  <c r="O1175" i="3" s="1"/>
  <c r="N1175" i="3"/>
  <c r="M1175" i="3"/>
  <c r="O1174" i="3" a="1"/>
  <c r="O1174" i="3" s="1"/>
  <c r="N1174" i="3"/>
  <c r="M1174" i="3"/>
  <c r="O1173" i="3" a="1"/>
  <c r="O1173" i="3" s="1"/>
  <c r="N1173" i="3"/>
  <c r="M1173" i="3"/>
  <c r="O1172" i="3" a="1"/>
  <c r="O1172" i="3" s="1"/>
  <c r="N1172" i="3"/>
  <c r="M1172" i="3"/>
  <c r="O1171" i="3"/>
  <c r="O1171" i="3" a="1"/>
  <c r="N1171" i="3"/>
  <c r="M1171" i="3"/>
  <c r="O1170" i="3" a="1"/>
  <c r="O1170" i="3" s="1"/>
  <c r="N1170" i="3"/>
  <c r="M1170" i="3"/>
  <c r="O1169" i="3" a="1"/>
  <c r="O1169" i="3" s="1"/>
  <c r="N1169" i="3"/>
  <c r="M1169" i="3"/>
  <c r="O1168" i="3" a="1"/>
  <c r="O1168" i="3" s="1"/>
  <c r="N1168" i="3"/>
  <c r="M1168" i="3"/>
  <c r="O1167" i="3" a="1"/>
  <c r="O1167" i="3" s="1"/>
  <c r="N1167" i="3"/>
  <c r="M1167" i="3"/>
  <c r="O1166" i="3" a="1"/>
  <c r="O1166" i="3" s="1"/>
  <c r="N1166" i="3"/>
  <c r="M1166" i="3"/>
  <c r="O1165" i="3"/>
  <c r="O1165" i="3" a="1"/>
  <c r="N1165" i="3"/>
  <c r="M1165" i="3"/>
  <c r="O1164" i="3" a="1"/>
  <c r="O1164" i="3" s="1"/>
  <c r="N1164" i="3"/>
  <c r="M1164" i="3"/>
  <c r="O1163" i="3" a="1"/>
  <c r="O1163" i="3" s="1"/>
  <c r="N1163" i="3"/>
  <c r="M1163" i="3"/>
  <c r="O1162" i="3" a="1"/>
  <c r="O1162" i="3" s="1"/>
  <c r="N1162" i="3"/>
  <c r="M1162" i="3"/>
  <c r="O1161" i="3"/>
  <c r="O1161" i="3" a="1"/>
  <c r="N1161" i="3"/>
  <c r="M1161" i="3"/>
  <c r="O1160" i="3" a="1"/>
  <c r="O1160" i="3" s="1"/>
  <c r="N1160" i="3"/>
  <c r="M1160" i="3"/>
  <c r="O1159" i="3" a="1"/>
  <c r="O1159" i="3" s="1"/>
  <c r="N1159" i="3"/>
  <c r="M1159" i="3"/>
  <c r="O1158" i="3" a="1"/>
  <c r="O1158" i="3" s="1"/>
  <c r="N1158" i="3"/>
  <c r="M1158" i="3"/>
  <c r="O1157" i="3" a="1"/>
  <c r="O1157" i="3" s="1"/>
  <c r="N1157" i="3"/>
  <c r="M1157" i="3"/>
  <c r="O1156" i="3" a="1"/>
  <c r="O1156" i="3" s="1"/>
  <c r="N1156" i="3"/>
  <c r="M1156" i="3"/>
  <c r="O1155" i="3"/>
  <c r="O1155" i="3" a="1"/>
  <c r="N1155" i="3"/>
  <c r="M1155" i="3"/>
  <c r="O1154" i="3" a="1"/>
  <c r="O1154" i="3" s="1"/>
  <c r="N1154" i="3"/>
  <c r="M1154" i="3"/>
  <c r="O1153" i="3" a="1"/>
  <c r="O1153" i="3" s="1"/>
  <c r="N1153" i="3"/>
  <c r="M1153" i="3"/>
  <c r="O1152" i="3" a="1"/>
  <c r="O1152" i="3" s="1"/>
  <c r="N1152" i="3"/>
  <c r="M1152" i="3"/>
  <c r="O1151" i="3" a="1"/>
  <c r="O1151" i="3" s="1"/>
  <c r="N1151" i="3"/>
  <c r="M1151" i="3"/>
  <c r="O1150" i="3" a="1"/>
  <c r="O1150" i="3" s="1"/>
  <c r="N1150" i="3"/>
  <c r="M1150" i="3"/>
  <c r="O1149" i="3"/>
  <c r="O1149" i="3" a="1"/>
  <c r="N1149" i="3"/>
  <c r="M1149" i="3"/>
  <c r="O1148" i="3" a="1"/>
  <c r="O1148" i="3" s="1"/>
  <c r="N1148" i="3"/>
  <c r="M1148" i="3"/>
  <c r="O1147" i="3" a="1"/>
  <c r="O1147" i="3" s="1"/>
  <c r="N1147" i="3"/>
  <c r="M1147" i="3"/>
  <c r="O1146" i="3" a="1"/>
  <c r="O1146" i="3" s="1"/>
  <c r="N1146" i="3"/>
  <c r="M1146" i="3"/>
  <c r="O1145" i="3"/>
  <c r="O1145" i="3" a="1"/>
  <c r="N1145" i="3"/>
  <c r="M1145" i="3"/>
  <c r="O1144" i="3" a="1"/>
  <c r="O1144" i="3" s="1"/>
  <c r="N1144" i="3"/>
  <c r="M1144" i="3"/>
  <c r="O1143" i="3" a="1"/>
  <c r="O1143" i="3" s="1"/>
  <c r="N1143" i="3"/>
  <c r="M1143" i="3"/>
  <c r="O1142" i="3" a="1"/>
  <c r="O1142" i="3" s="1"/>
  <c r="N1142" i="3"/>
  <c r="M1142" i="3"/>
  <c r="O1141" i="3" a="1"/>
  <c r="O1141" i="3" s="1"/>
  <c r="N1141" i="3"/>
  <c r="M1141" i="3"/>
  <c r="O1140" i="3" a="1"/>
  <c r="O1140" i="3" s="1"/>
  <c r="N1140" i="3"/>
  <c r="M1140" i="3"/>
  <c r="O1139" i="3"/>
  <c r="O1139" i="3" a="1"/>
  <c r="N1139" i="3"/>
  <c r="M1139" i="3"/>
  <c r="O1138" i="3" a="1"/>
  <c r="O1138" i="3" s="1"/>
  <c r="N1138" i="3"/>
  <c r="M1138" i="3"/>
  <c r="O1137" i="3" a="1"/>
  <c r="O1137" i="3" s="1"/>
  <c r="N1137" i="3"/>
  <c r="M1137" i="3"/>
  <c r="O1136" i="3" a="1"/>
  <c r="O1136" i="3" s="1"/>
  <c r="N1136" i="3"/>
  <c r="M1136" i="3"/>
  <c r="O1135" i="3" a="1"/>
  <c r="O1135" i="3" s="1"/>
  <c r="N1135" i="3"/>
  <c r="M1135" i="3"/>
  <c r="O1134" i="3" a="1"/>
  <c r="O1134" i="3" s="1"/>
  <c r="N1134" i="3"/>
  <c r="M1134" i="3"/>
  <c r="O1133" i="3"/>
  <c r="O1133" i="3" a="1"/>
  <c r="N1133" i="3"/>
  <c r="M1133" i="3"/>
  <c r="O1132" i="3" a="1"/>
  <c r="O1132" i="3" s="1"/>
  <c r="N1132" i="3"/>
  <c r="M1132" i="3"/>
  <c r="O1131" i="3" a="1"/>
  <c r="O1131" i="3" s="1"/>
  <c r="N1131" i="3"/>
  <c r="M1131" i="3"/>
  <c r="O1130" i="3" a="1"/>
  <c r="O1130" i="3" s="1"/>
  <c r="N1130" i="3"/>
  <c r="M1130" i="3"/>
  <c r="O1129" i="3"/>
  <c r="O1129" i="3" a="1"/>
  <c r="N1129" i="3"/>
  <c r="M1129" i="3"/>
  <c r="O1128" i="3" a="1"/>
  <c r="O1128" i="3" s="1"/>
  <c r="N1128" i="3"/>
  <c r="M1128" i="3"/>
  <c r="O1127" i="3" a="1"/>
  <c r="O1127" i="3" s="1"/>
  <c r="N1127" i="3"/>
  <c r="M1127" i="3"/>
  <c r="O1126" i="3" a="1"/>
  <c r="O1126" i="3" s="1"/>
  <c r="N1126" i="3"/>
  <c r="M1126" i="3"/>
  <c r="O1125" i="3" a="1"/>
  <c r="O1125" i="3" s="1"/>
  <c r="N1125" i="3"/>
  <c r="M1125" i="3"/>
  <c r="O1124" i="3" a="1"/>
  <c r="O1124" i="3" s="1"/>
  <c r="N1124" i="3"/>
  <c r="M1124" i="3"/>
  <c r="O1123" i="3"/>
  <c r="O1123" i="3" a="1"/>
  <c r="N1123" i="3"/>
  <c r="M1123" i="3"/>
  <c r="O1122" i="3" a="1"/>
  <c r="O1122" i="3" s="1"/>
  <c r="N1122" i="3"/>
  <c r="M1122" i="3"/>
  <c r="O1121" i="3" a="1"/>
  <c r="O1121" i="3" s="1"/>
  <c r="N1121" i="3"/>
  <c r="M1121" i="3"/>
  <c r="O1120" i="3" a="1"/>
  <c r="O1120" i="3" s="1"/>
  <c r="N1120" i="3"/>
  <c r="M1120" i="3"/>
  <c r="O1119" i="3" a="1"/>
  <c r="O1119" i="3" s="1"/>
  <c r="N1119" i="3"/>
  <c r="M1119" i="3"/>
  <c r="O1118" i="3" a="1"/>
  <c r="O1118" i="3" s="1"/>
  <c r="N1118" i="3"/>
  <c r="M1118" i="3"/>
  <c r="O1117" i="3"/>
  <c r="O1117" i="3" a="1"/>
  <c r="N1117" i="3"/>
  <c r="M1117" i="3"/>
  <c r="O1116" i="3" a="1"/>
  <c r="O1116" i="3" s="1"/>
  <c r="N1116" i="3"/>
  <c r="M1116" i="3"/>
  <c r="O1115" i="3" a="1"/>
  <c r="O1115" i="3" s="1"/>
  <c r="N1115" i="3"/>
  <c r="M1115" i="3"/>
  <c r="O1114" i="3" a="1"/>
  <c r="O1114" i="3" s="1"/>
  <c r="N1114" i="3"/>
  <c r="M1114" i="3"/>
  <c r="O1113" i="3"/>
  <c r="O1113" i="3" a="1"/>
  <c r="N1113" i="3"/>
  <c r="M1113" i="3"/>
  <c r="O1112" i="3" a="1"/>
  <c r="O1112" i="3" s="1"/>
  <c r="N1112" i="3"/>
  <c r="M1112" i="3"/>
  <c r="O1111" i="3" a="1"/>
  <c r="O1111" i="3" s="1"/>
  <c r="N1111" i="3"/>
  <c r="M1111" i="3"/>
  <c r="O1110" i="3" a="1"/>
  <c r="O1110" i="3" s="1"/>
  <c r="N1110" i="3"/>
  <c r="M1110" i="3"/>
  <c r="O1109" i="3" a="1"/>
  <c r="O1109" i="3" s="1"/>
  <c r="N1109" i="3"/>
  <c r="M1109" i="3"/>
  <c r="O1108" i="3" a="1"/>
  <c r="O1108" i="3" s="1"/>
  <c r="N1108" i="3"/>
  <c r="M1108" i="3"/>
  <c r="O1107" i="3"/>
  <c r="O1107" i="3" a="1"/>
  <c r="N1107" i="3"/>
  <c r="M1107" i="3"/>
  <c r="O1106" i="3" a="1"/>
  <c r="O1106" i="3" s="1"/>
  <c r="N1106" i="3"/>
  <c r="M1106" i="3"/>
  <c r="O1105" i="3" a="1"/>
  <c r="O1105" i="3" s="1"/>
  <c r="N1105" i="3"/>
  <c r="M1105" i="3"/>
  <c r="O1104" i="3" a="1"/>
  <c r="O1104" i="3" s="1"/>
  <c r="N1104" i="3"/>
  <c r="M1104" i="3"/>
  <c r="O1103" i="3" a="1"/>
  <c r="O1103" i="3" s="1"/>
  <c r="N1103" i="3"/>
  <c r="M1103" i="3"/>
  <c r="O1102" i="3" a="1"/>
  <c r="O1102" i="3" s="1"/>
  <c r="N1102" i="3"/>
  <c r="M1102" i="3"/>
  <c r="O1101" i="3"/>
  <c r="O1101" i="3" a="1"/>
  <c r="N1101" i="3"/>
  <c r="M1101" i="3"/>
  <c r="O1100" i="3" a="1"/>
  <c r="O1100" i="3" s="1"/>
  <c r="N1100" i="3"/>
  <c r="M1100" i="3"/>
  <c r="O1099" i="3" a="1"/>
  <c r="O1099" i="3" s="1"/>
  <c r="N1099" i="3"/>
  <c r="M1099" i="3"/>
  <c r="O1098" i="3" a="1"/>
  <c r="O1098" i="3" s="1"/>
  <c r="N1098" i="3"/>
  <c r="M1098" i="3"/>
  <c r="O1097" i="3"/>
  <c r="O1097" i="3" a="1"/>
  <c r="N1097" i="3"/>
  <c r="M1097" i="3"/>
  <c r="O1096" i="3" a="1"/>
  <c r="O1096" i="3" s="1"/>
  <c r="N1096" i="3"/>
  <c r="M1096" i="3"/>
  <c r="O1095" i="3"/>
  <c r="O1095" i="3" a="1"/>
  <c r="N1095" i="3"/>
  <c r="M1095" i="3"/>
  <c r="O1094" i="3" a="1"/>
  <c r="O1094" i="3" s="1"/>
  <c r="N1094" i="3"/>
  <c r="M1094" i="3"/>
  <c r="O1093" i="3" a="1"/>
  <c r="O1093" i="3" s="1"/>
  <c r="N1093" i="3"/>
  <c r="M1093" i="3"/>
  <c r="O1092" i="3" a="1"/>
  <c r="O1092" i="3" s="1"/>
  <c r="N1092" i="3"/>
  <c r="M1092" i="3"/>
  <c r="O1091" i="3"/>
  <c r="O1091" i="3" a="1"/>
  <c r="N1091" i="3"/>
  <c r="M1091" i="3"/>
  <c r="O1090" i="3" a="1"/>
  <c r="O1090" i="3" s="1"/>
  <c r="N1090" i="3"/>
  <c r="M1090" i="3"/>
  <c r="O1089" i="3" a="1"/>
  <c r="O1089" i="3" s="1"/>
  <c r="N1089" i="3"/>
  <c r="M1089" i="3"/>
  <c r="O1088" i="3" a="1"/>
  <c r="O1088" i="3" s="1"/>
  <c r="N1088" i="3"/>
  <c r="M1088" i="3"/>
  <c r="O1087" i="3" a="1"/>
  <c r="O1087" i="3" s="1"/>
  <c r="N1087" i="3"/>
  <c r="M1087" i="3"/>
  <c r="O1086" i="3" a="1"/>
  <c r="O1086" i="3" s="1"/>
  <c r="N1086" i="3"/>
  <c r="M1086" i="3"/>
  <c r="O1085" i="3"/>
  <c r="O1085" i="3" a="1"/>
  <c r="N1085" i="3"/>
  <c r="M1085" i="3"/>
  <c r="O1084" i="3" a="1"/>
  <c r="O1084" i="3" s="1"/>
  <c r="N1084" i="3"/>
  <c r="M1084" i="3"/>
  <c r="O1083" i="3" a="1"/>
  <c r="O1083" i="3" s="1"/>
  <c r="N1083" i="3"/>
  <c r="M1083" i="3"/>
  <c r="O1082" i="3" a="1"/>
  <c r="O1082" i="3" s="1"/>
  <c r="N1082" i="3"/>
  <c r="M1082" i="3"/>
  <c r="O1081" i="3"/>
  <c r="O1081" i="3" a="1"/>
  <c r="N1081" i="3"/>
  <c r="M1081" i="3"/>
  <c r="O1080" i="3" a="1"/>
  <c r="O1080" i="3" s="1"/>
  <c r="N1080" i="3"/>
  <c r="M1080" i="3"/>
  <c r="O1079" i="3" a="1"/>
  <c r="O1079" i="3" s="1"/>
  <c r="N1079" i="3"/>
  <c r="M1079" i="3"/>
  <c r="O1078" i="3" a="1"/>
  <c r="O1078" i="3" s="1"/>
  <c r="N1078" i="3"/>
  <c r="M1078" i="3"/>
  <c r="O1077" i="3" a="1"/>
  <c r="O1077" i="3" s="1"/>
  <c r="N1077" i="3"/>
  <c r="M1077" i="3"/>
  <c r="O1076" i="3" a="1"/>
  <c r="O1076" i="3" s="1"/>
  <c r="N1076" i="3"/>
  <c r="M1076" i="3"/>
  <c r="O1075" i="3"/>
  <c r="O1075" i="3" a="1"/>
  <c r="N1075" i="3"/>
  <c r="M1075" i="3"/>
  <c r="O1074" i="3" a="1"/>
  <c r="O1074" i="3" s="1"/>
  <c r="N1074" i="3"/>
  <c r="M1074" i="3"/>
  <c r="O1073" i="3" a="1"/>
  <c r="O1073" i="3" s="1"/>
  <c r="N1073" i="3"/>
  <c r="M1073" i="3"/>
  <c r="O1072" i="3" a="1"/>
  <c r="O1072" i="3" s="1"/>
  <c r="N1072" i="3"/>
  <c r="M1072" i="3"/>
  <c r="O1071" i="3" a="1"/>
  <c r="O1071" i="3" s="1"/>
  <c r="N1071" i="3"/>
  <c r="M1071" i="3"/>
  <c r="O1070" i="3" a="1"/>
  <c r="O1070" i="3" s="1"/>
  <c r="N1070" i="3"/>
  <c r="M1070" i="3"/>
  <c r="O1069" i="3"/>
  <c r="O1069" i="3" a="1"/>
  <c r="N1069" i="3"/>
  <c r="M1069" i="3"/>
  <c r="O1068" i="3" a="1"/>
  <c r="O1068" i="3" s="1"/>
  <c r="N1068" i="3"/>
  <c r="M1068" i="3"/>
  <c r="O1067" i="3" a="1"/>
  <c r="O1067" i="3" s="1"/>
  <c r="N1067" i="3"/>
  <c r="M1067" i="3"/>
  <c r="O1066" i="3" a="1"/>
  <c r="O1066" i="3" s="1"/>
  <c r="N1066" i="3"/>
  <c r="M1066" i="3"/>
  <c r="O1065" i="3"/>
  <c r="O1065" i="3" a="1"/>
  <c r="N1065" i="3"/>
  <c r="M1065" i="3"/>
  <c r="O1064" i="3" a="1"/>
  <c r="O1064" i="3" s="1"/>
  <c r="N1064" i="3"/>
  <c r="M1064" i="3"/>
  <c r="O1063" i="3"/>
  <c r="O1063" i="3" a="1"/>
  <c r="N1063" i="3"/>
  <c r="M1063" i="3"/>
  <c r="O1062" i="3" a="1"/>
  <c r="O1062" i="3" s="1"/>
  <c r="N1062" i="3"/>
  <c r="M1062" i="3"/>
  <c r="O1061" i="3" a="1"/>
  <c r="O1061" i="3" s="1"/>
  <c r="N1061" i="3"/>
  <c r="M1061" i="3"/>
  <c r="O1060" i="3" a="1"/>
  <c r="O1060" i="3" s="1"/>
  <c r="N1060" i="3"/>
  <c r="M1060" i="3"/>
  <c r="O1059" i="3"/>
  <c r="O1059" i="3" a="1"/>
  <c r="N1059" i="3"/>
  <c r="M1059" i="3"/>
  <c r="O1058" i="3" a="1"/>
  <c r="O1058" i="3" s="1"/>
  <c r="N1058" i="3"/>
  <c r="M1058" i="3"/>
  <c r="O1057" i="3" a="1"/>
  <c r="O1057" i="3" s="1"/>
  <c r="N1057" i="3"/>
  <c r="M1057" i="3"/>
  <c r="O1056" i="3" a="1"/>
  <c r="O1056" i="3" s="1"/>
  <c r="N1056" i="3"/>
  <c r="M1056" i="3"/>
  <c r="O1055" i="3" a="1"/>
  <c r="O1055" i="3" s="1"/>
  <c r="N1055" i="3"/>
  <c r="M1055" i="3"/>
  <c r="O1054" i="3" a="1"/>
  <c r="O1054" i="3" s="1"/>
  <c r="N1054" i="3"/>
  <c r="M1054" i="3"/>
  <c r="O1053" i="3"/>
  <c r="O1053" i="3" a="1"/>
  <c r="N1053" i="3"/>
  <c r="M1053" i="3"/>
  <c r="O1052" i="3" a="1"/>
  <c r="O1052" i="3" s="1"/>
  <c r="N1052" i="3"/>
  <c r="M1052" i="3"/>
  <c r="O1051" i="3" a="1"/>
  <c r="O1051" i="3" s="1"/>
  <c r="N1051" i="3"/>
  <c r="M1051" i="3"/>
  <c r="O1050" i="3" a="1"/>
  <c r="O1050" i="3" s="1"/>
  <c r="N1050" i="3"/>
  <c r="M1050" i="3"/>
  <c r="O1049" i="3"/>
  <c r="O1049" i="3" a="1"/>
  <c r="N1049" i="3"/>
  <c r="M1049" i="3"/>
  <c r="O1048" i="3" a="1"/>
  <c r="O1048" i="3" s="1"/>
  <c r="N1048" i="3"/>
  <c r="M1048" i="3"/>
  <c r="O1047" i="3" a="1"/>
  <c r="O1047" i="3" s="1"/>
  <c r="N1047" i="3"/>
  <c r="M1047" i="3"/>
  <c r="O1046" i="3" a="1"/>
  <c r="O1046" i="3" s="1"/>
  <c r="N1046" i="3"/>
  <c r="M1046" i="3"/>
  <c r="O1045" i="3" a="1"/>
  <c r="O1045" i="3" s="1"/>
  <c r="N1045" i="3"/>
  <c r="M1045" i="3"/>
  <c r="O1044" i="3" a="1"/>
  <c r="O1044" i="3" s="1"/>
  <c r="N1044" i="3"/>
  <c r="M1044" i="3"/>
  <c r="O1043" i="3"/>
  <c r="O1043" i="3" a="1"/>
  <c r="N1043" i="3"/>
  <c r="M1043" i="3"/>
  <c r="O1042" i="3" a="1"/>
  <c r="O1042" i="3" s="1"/>
  <c r="N1042" i="3"/>
  <c r="M1042" i="3"/>
  <c r="O1041" i="3" a="1"/>
  <c r="O1041" i="3" s="1"/>
  <c r="N1041" i="3"/>
  <c r="M1041" i="3"/>
  <c r="O1040" i="3" a="1"/>
  <c r="O1040" i="3" s="1"/>
  <c r="N1040" i="3"/>
  <c r="M1040" i="3"/>
  <c r="O1039" i="3" a="1"/>
  <c r="O1039" i="3" s="1"/>
  <c r="N1039" i="3"/>
  <c r="M1039" i="3"/>
  <c r="O1038" i="3" a="1"/>
  <c r="O1038" i="3" s="1"/>
  <c r="N1038" i="3"/>
  <c r="M1038" i="3"/>
  <c r="O1037" i="3"/>
  <c r="O1037" i="3" a="1"/>
  <c r="N1037" i="3"/>
  <c r="M1037" i="3"/>
  <c r="O1036" i="3" a="1"/>
  <c r="O1036" i="3" s="1"/>
  <c r="N1036" i="3"/>
  <c r="M1036" i="3"/>
  <c r="O1035" i="3" a="1"/>
  <c r="O1035" i="3" s="1"/>
  <c r="N1035" i="3"/>
  <c r="M1035" i="3"/>
  <c r="O1034" i="3" a="1"/>
  <c r="O1034" i="3" s="1"/>
  <c r="N1034" i="3"/>
  <c r="M1034" i="3"/>
  <c r="O1033" i="3"/>
  <c r="O1033" i="3" a="1"/>
  <c r="N1033" i="3"/>
  <c r="M1033" i="3"/>
  <c r="O1032" i="3" a="1"/>
  <c r="O1032" i="3" s="1"/>
  <c r="N1032" i="3"/>
  <c r="M1032" i="3"/>
  <c r="O1031" i="3"/>
  <c r="O1031" i="3" a="1"/>
  <c r="N1031" i="3"/>
  <c r="M1031" i="3"/>
  <c r="O1030" i="3" a="1"/>
  <c r="O1030" i="3" s="1"/>
  <c r="N1030" i="3"/>
  <c r="M1030" i="3"/>
  <c r="O1029" i="3" a="1"/>
  <c r="O1029" i="3" s="1"/>
  <c r="N1029" i="3"/>
  <c r="M1029" i="3"/>
  <c r="O1028" i="3" a="1"/>
  <c r="O1028" i="3" s="1"/>
  <c r="N1028" i="3"/>
  <c r="M1028" i="3"/>
  <c r="O1027" i="3"/>
  <c r="O1027" i="3" a="1"/>
  <c r="N1027" i="3"/>
  <c r="M1027" i="3"/>
  <c r="O1026" i="3" a="1"/>
  <c r="O1026" i="3" s="1"/>
  <c r="N1026" i="3"/>
  <c r="M1026" i="3"/>
  <c r="O1025" i="3" a="1"/>
  <c r="O1025" i="3" s="1"/>
  <c r="N1025" i="3"/>
  <c r="M1025" i="3"/>
  <c r="O1024" i="3" a="1"/>
  <c r="O1024" i="3" s="1"/>
  <c r="N1024" i="3"/>
  <c r="M1024" i="3"/>
  <c r="O1023" i="3" a="1"/>
  <c r="O1023" i="3" s="1"/>
  <c r="N1023" i="3"/>
  <c r="M1023" i="3"/>
  <c r="O1022" i="3" a="1"/>
  <c r="O1022" i="3" s="1"/>
  <c r="N1022" i="3"/>
  <c r="M1022" i="3"/>
  <c r="O1021" i="3"/>
  <c r="O1021" i="3" a="1"/>
  <c r="N1021" i="3"/>
  <c r="M1021" i="3"/>
  <c r="O1020" i="3" a="1"/>
  <c r="O1020" i="3" s="1"/>
  <c r="N1020" i="3"/>
  <c r="M1020" i="3"/>
  <c r="O1019" i="3" a="1"/>
  <c r="O1019" i="3" s="1"/>
  <c r="N1019" i="3"/>
  <c r="M1019" i="3"/>
  <c r="O1018" i="3" a="1"/>
  <c r="O1018" i="3" s="1"/>
  <c r="N1018" i="3"/>
  <c r="M1018" i="3"/>
  <c r="O1017" i="3"/>
  <c r="O1017" i="3" a="1"/>
  <c r="N1017" i="3"/>
  <c r="M1017" i="3"/>
  <c r="O1016" i="3" a="1"/>
  <c r="O1016" i="3" s="1"/>
  <c r="N1016" i="3"/>
  <c r="M1016" i="3"/>
  <c r="O1015" i="3" a="1"/>
  <c r="O1015" i="3" s="1"/>
  <c r="N1015" i="3"/>
  <c r="M1015" i="3"/>
  <c r="O1014" i="3" a="1"/>
  <c r="O1014" i="3" s="1"/>
  <c r="N1014" i="3"/>
  <c r="M1014" i="3"/>
  <c r="O1013" i="3" a="1"/>
  <c r="O1013" i="3" s="1"/>
  <c r="N1013" i="3"/>
  <c r="M1013" i="3"/>
  <c r="O1012" i="3" a="1"/>
  <c r="O1012" i="3" s="1"/>
  <c r="N1012" i="3"/>
  <c r="M1012" i="3"/>
  <c r="O1011" i="3"/>
  <c r="O1011" i="3" a="1"/>
  <c r="N1011" i="3"/>
  <c r="M1011" i="3"/>
  <c r="O1010" i="3" a="1"/>
  <c r="O1010" i="3" s="1"/>
  <c r="N1010" i="3"/>
  <c r="M1010" i="3"/>
  <c r="O1009" i="3" a="1"/>
  <c r="O1009" i="3" s="1"/>
  <c r="N1009" i="3"/>
  <c r="M1009" i="3"/>
  <c r="O1008" i="3" a="1"/>
  <c r="O1008" i="3" s="1"/>
  <c r="N1008" i="3"/>
  <c r="M1008" i="3"/>
  <c r="O1007" i="3" a="1"/>
  <c r="O1007" i="3" s="1"/>
  <c r="N1007" i="3"/>
  <c r="M1007" i="3"/>
  <c r="O1006" i="3" a="1"/>
  <c r="O1006" i="3" s="1"/>
  <c r="N1006" i="3"/>
  <c r="M1006" i="3"/>
  <c r="O1005" i="3"/>
  <c r="O1005" i="3" a="1"/>
  <c r="N1005" i="3"/>
  <c r="M1005" i="3"/>
  <c r="O1004" i="3" a="1"/>
  <c r="O1004" i="3" s="1"/>
  <c r="N1004" i="3"/>
  <c r="M1004" i="3"/>
  <c r="O1003" i="3" a="1"/>
  <c r="O1003" i="3" s="1"/>
  <c r="N1003" i="3"/>
  <c r="M1003" i="3"/>
  <c r="O1002" i="3" a="1"/>
  <c r="O1002" i="3" s="1"/>
  <c r="N1002" i="3"/>
  <c r="M1002" i="3"/>
  <c r="O1001" i="3"/>
  <c r="O1001" i="3" a="1"/>
  <c r="N1001" i="3"/>
  <c r="M1001" i="3"/>
  <c r="O1000" i="3" a="1"/>
  <c r="O1000" i="3" s="1"/>
  <c r="N1000" i="3"/>
  <c r="M1000" i="3"/>
  <c r="O999" i="3"/>
  <c r="O999" i="3" a="1"/>
  <c r="N999" i="3"/>
  <c r="M999" i="3"/>
  <c r="O998" i="3" a="1"/>
  <c r="O998" i="3" s="1"/>
  <c r="N998" i="3"/>
  <c r="M998" i="3"/>
  <c r="O997" i="3" a="1"/>
  <c r="O997" i="3" s="1"/>
  <c r="N997" i="3"/>
  <c r="M997" i="3"/>
  <c r="O996" i="3" a="1"/>
  <c r="O996" i="3" s="1"/>
  <c r="N996" i="3"/>
  <c r="M996" i="3"/>
  <c r="O995" i="3"/>
  <c r="O995" i="3" a="1"/>
  <c r="N995" i="3"/>
  <c r="M995" i="3"/>
  <c r="O994" i="3" a="1"/>
  <c r="O994" i="3" s="1"/>
  <c r="N994" i="3"/>
  <c r="M994" i="3"/>
  <c r="O993" i="3" a="1"/>
  <c r="O993" i="3" s="1"/>
  <c r="N993" i="3"/>
  <c r="M993" i="3"/>
  <c r="O992" i="3" a="1"/>
  <c r="O992" i="3" s="1"/>
  <c r="N992" i="3"/>
  <c r="M992" i="3"/>
  <c r="O991" i="3" a="1"/>
  <c r="O991" i="3" s="1"/>
  <c r="N991" i="3"/>
  <c r="M991" i="3"/>
  <c r="O990" i="3" a="1"/>
  <c r="O990" i="3" s="1"/>
  <c r="N990" i="3"/>
  <c r="M990" i="3"/>
  <c r="O989" i="3"/>
  <c r="O989" i="3" a="1"/>
  <c r="N989" i="3"/>
  <c r="M989" i="3"/>
  <c r="O988" i="3" a="1"/>
  <c r="O988" i="3" s="1"/>
  <c r="N988" i="3"/>
  <c r="M988" i="3"/>
  <c r="O987" i="3"/>
  <c r="O987" i="3" a="1"/>
  <c r="N987" i="3"/>
  <c r="M987" i="3"/>
  <c r="O986" i="3" a="1"/>
  <c r="O986" i="3" s="1"/>
  <c r="N986" i="3"/>
  <c r="M986" i="3"/>
  <c r="O985" i="3"/>
  <c r="O985" i="3" a="1"/>
  <c r="N985" i="3"/>
  <c r="M985" i="3"/>
  <c r="O984" i="3" a="1"/>
  <c r="O984" i="3" s="1"/>
  <c r="N984" i="3"/>
  <c r="M984" i="3"/>
  <c r="O983" i="3"/>
  <c r="O983" i="3" a="1"/>
  <c r="N983" i="3"/>
  <c r="M983" i="3"/>
  <c r="O982" i="3" a="1"/>
  <c r="O982" i="3" s="1"/>
  <c r="N982" i="3"/>
  <c r="M982" i="3"/>
  <c r="O981" i="3"/>
  <c r="O981" i="3" a="1"/>
  <c r="N981" i="3"/>
  <c r="M981" i="3"/>
  <c r="O980" i="3" a="1"/>
  <c r="O980" i="3" s="1"/>
  <c r="N980" i="3"/>
  <c r="M980" i="3"/>
  <c r="O979" i="3"/>
  <c r="O979" i="3" a="1"/>
  <c r="N979" i="3"/>
  <c r="M979" i="3"/>
  <c r="O978" i="3" a="1"/>
  <c r="O978" i="3" s="1"/>
  <c r="N978" i="3"/>
  <c r="M978" i="3"/>
  <c r="O977" i="3"/>
  <c r="O977" i="3" a="1"/>
  <c r="N977" i="3"/>
  <c r="M977" i="3"/>
  <c r="O976" i="3" a="1"/>
  <c r="O976" i="3" s="1"/>
  <c r="N976" i="3"/>
  <c r="M976" i="3"/>
  <c r="O975" i="3"/>
  <c r="O975" i="3" a="1"/>
  <c r="N975" i="3"/>
  <c r="M975" i="3"/>
  <c r="O974" i="3" a="1"/>
  <c r="O974" i="3" s="1"/>
  <c r="N974" i="3"/>
  <c r="M974" i="3"/>
  <c r="O973" i="3"/>
  <c r="O973" i="3" a="1"/>
  <c r="N973" i="3"/>
  <c r="M973" i="3"/>
  <c r="O972" i="3" a="1"/>
  <c r="O972" i="3" s="1"/>
  <c r="N972" i="3"/>
  <c r="M972" i="3"/>
  <c r="O971" i="3"/>
  <c r="O971" i="3" a="1"/>
  <c r="N971" i="3"/>
  <c r="M971" i="3"/>
  <c r="O970" i="3" a="1"/>
  <c r="O970" i="3" s="1"/>
  <c r="N970" i="3"/>
  <c r="M970" i="3"/>
  <c r="O969" i="3"/>
  <c r="O969" i="3" a="1"/>
  <c r="N969" i="3"/>
  <c r="M969" i="3"/>
  <c r="O968" i="3" a="1"/>
  <c r="O968" i="3" s="1"/>
  <c r="N968" i="3"/>
  <c r="M968" i="3"/>
  <c r="O967" i="3"/>
  <c r="O967" i="3" a="1"/>
  <c r="N967" i="3"/>
  <c r="M967" i="3"/>
  <c r="O966" i="3" a="1"/>
  <c r="O966" i="3" s="1"/>
  <c r="N966" i="3"/>
  <c r="M966" i="3"/>
  <c r="O965" i="3"/>
  <c r="O965" i="3" a="1"/>
  <c r="N965" i="3"/>
  <c r="M965" i="3"/>
  <c r="O964" i="3" a="1"/>
  <c r="O964" i="3" s="1"/>
  <c r="N964" i="3"/>
  <c r="M964" i="3"/>
  <c r="O963" i="3"/>
  <c r="O963" i="3" a="1"/>
  <c r="N963" i="3"/>
  <c r="M963" i="3"/>
  <c r="O962" i="3" a="1"/>
  <c r="O962" i="3" s="1"/>
  <c r="N962" i="3"/>
  <c r="M962" i="3"/>
  <c r="O961" i="3"/>
  <c r="O961" i="3" a="1"/>
  <c r="N961" i="3"/>
  <c r="M961" i="3"/>
  <c r="O960" i="3" a="1"/>
  <c r="O960" i="3" s="1"/>
  <c r="N960" i="3"/>
  <c r="M960" i="3"/>
  <c r="O959" i="3"/>
  <c r="O959" i="3" a="1"/>
  <c r="N959" i="3"/>
  <c r="M959" i="3"/>
  <c r="O958" i="3" a="1"/>
  <c r="O958" i="3" s="1"/>
  <c r="N958" i="3"/>
  <c r="M958" i="3"/>
  <c r="O957" i="3"/>
  <c r="O957" i="3" a="1"/>
  <c r="N957" i="3"/>
  <c r="M957" i="3"/>
  <c r="O956" i="3" a="1"/>
  <c r="O956" i="3" s="1"/>
  <c r="N956" i="3"/>
  <c r="M956" i="3"/>
  <c r="O955" i="3"/>
  <c r="O955" i="3" a="1"/>
  <c r="N955" i="3"/>
  <c r="M955" i="3"/>
  <c r="O954" i="3" a="1"/>
  <c r="O954" i="3" s="1"/>
  <c r="N954" i="3"/>
  <c r="M954" i="3"/>
  <c r="O953" i="3"/>
  <c r="O953" i="3" a="1"/>
  <c r="N953" i="3"/>
  <c r="M953" i="3"/>
  <c r="O952" i="3" a="1"/>
  <c r="O952" i="3" s="1"/>
  <c r="N952" i="3"/>
  <c r="M952" i="3"/>
  <c r="O951" i="3"/>
  <c r="O951" i="3" a="1"/>
  <c r="N951" i="3"/>
  <c r="M951" i="3"/>
  <c r="O950" i="3" a="1"/>
  <c r="O950" i="3" s="1"/>
  <c r="N950" i="3"/>
  <c r="M950" i="3"/>
  <c r="O949" i="3"/>
  <c r="O949" i="3" a="1"/>
  <c r="N949" i="3"/>
  <c r="M949" i="3"/>
  <c r="O948" i="3" a="1"/>
  <c r="O948" i="3" s="1"/>
  <c r="N948" i="3"/>
  <c r="M948" i="3"/>
  <c r="O947" i="3"/>
  <c r="O947" i="3" a="1"/>
  <c r="N947" i="3"/>
  <c r="M947" i="3"/>
  <c r="O946" i="3" a="1"/>
  <c r="O946" i="3" s="1"/>
  <c r="N946" i="3"/>
  <c r="M946" i="3"/>
  <c r="O945" i="3"/>
  <c r="O945" i="3" a="1"/>
  <c r="N945" i="3"/>
  <c r="M945" i="3"/>
  <c r="O944" i="3" a="1"/>
  <c r="O944" i="3" s="1"/>
  <c r="N944" i="3"/>
  <c r="M944" i="3"/>
  <c r="O943" i="3"/>
  <c r="O943" i="3" a="1"/>
  <c r="N943" i="3"/>
  <c r="M943" i="3"/>
  <c r="O942" i="3" a="1"/>
  <c r="O942" i="3" s="1"/>
  <c r="N942" i="3"/>
  <c r="M942" i="3"/>
  <c r="O941" i="3"/>
  <c r="O941" i="3" a="1"/>
  <c r="N941" i="3"/>
  <c r="M941" i="3"/>
  <c r="O940" i="3" a="1"/>
  <c r="O940" i="3" s="1"/>
  <c r="N940" i="3"/>
  <c r="M940" i="3"/>
  <c r="O939" i="3"/>
  <c r="O939" i="3" a="1"/>
  <c r="N939" i="3"/>
  <c r="M939" i="3"/>
  <c r="O938" i="3" a="1"/>
  <c r="O938" i="3" s="1"/>
  <c r="N938" i="3"/>
  <c r="M938" i="3"/>
  <c r="O937" i="3"/>
  <c r="O937" i="3" a="1"/>
  <c r="N937" i="3"/>
  <c r="M937" i="3"/>
  <c r="O936" i="3" a="1"/>
  <c r="O936" i="3" s="1"/>
  <c r="N936" i="3"/>
  <c r="M936" i="3"/>
  <c r="O935" i="3"/>
  <c r="O935" i="3" a="1"/>
  <c r="N935" i="3"/>
  <c r="M935" i="3"/>
  <c r="O934" i="3" a="1"/>
  <c r="O934" i="3" s="1"/>
  <c r="N934" i="3"/>
  <c r="M934" i="3"/>
  <c r="O933" i="3"/>
  <c r="O933" i="3" a="1"/>
  <c r="N933" i="3"/>
  <c r="M933" i="3"/>
  <c r="O932" i="3" a="1"/>
  <c r="O932" i="3" s="1"/>
  <c r="N932" i="3"/>
  <c r="M932" i="3"/>
  <c r="O931" i="3"/>
  <c r="O931" i="3" a="1"/>
  <c r="N931" i="3"/>
  <c r="M931" i="3"/>
  <c r="O930" i="3" a="1"/>
  <c r="O930" i="3" s="1"/>
  <c r="N930" i="3"/>
  <c r="M930" i="3"/>
  <c r="O929" i="3"/>
  <c r="O929" i="3" a="1"/>
  <c r="N929" i="3"/>
  <c r="M929" i="3"/>
  <c r="O928" i="3" a="1"/>
  <c r="O928" i="3" s="1"/>
  <c r="N928" i="3"/>
  <c r="M928" i="3"/>
  <c r="O927" i="3"/>
  <c r="O927" i="3" a="1"/>
  <c r="N927" i="3"/>
  <c r="M927" i="3"/>
  <c r="O926" i="3" a="1"/>
  <c r="O926" i="3" s="1"/>
  <c r="N926" i="3"/>
  <c r="M926" i="3"/>
  <c r="O925" i="3"/>
  <c r="O925" i="3" a="1"/>
  <c r="N925" i="3"/>
  <c r="M925" i="3"/>
  <c r="O924" i="3" a="1"/>
  <c r="O924" i="3" s="1"/>
  <c r="N924" i="3"/>
  <c r="M924" i="3"/>
  <c r="O923" i="3"/>
  <c r="O923" i="3" a="1"/>
  <c r="N923" i="3"/>
  <c r="M923" i="3"/>
  <c r="O922" i="3" a="1"/>
  <c r="O922" i="3" s="1"/>
  <c r="N922" i="3"/>
  <c r="M922" i="3"/>
  <c r="O921" i="3"/>
  <c r="O921" i="3" a="1"/>
  <c r="N921" i="3"/>
  <c r="M921" i="3"/>
  <c r="O920" i="3" a="1"/>
  <c r="O920" i="3" s="1"/>
  <c r="N920" i="3"/>
  <c r="M920" i="3"/>
  <c r="O919" i="3"/>
  <c r="O919" i="3" a="1"/>
  <c r="N919" i="3"/>
  <c r="M919" i="3"/>
  <c r="O918" i="3" a="1"/>
  <c r="O918" i="3" s="1"/>
  <c r="N918" i="3"/>
  <c r="M918" i="3"/>
  <c r="O917" i="3"/>
  <c r="O917" i="3" a="1"/>
  <c r="N917" i="3"/>
  <c r="M917" i="3"/>
  <c r="O916" i="3" a="1"/>
  <c r="O916" i="3" s="1"/>
  <c r="N916" i="3"/>
  <c r="M916" i="3"/>
  <c r="O915" i="3"/>
  <c r="O915" i="3" a="1"/>
  <c r="N915" i="3"/>
  <c r="M915" i="3"/>
  <c r="O914" i="3" a="1"/>
  <c r="O914" i="3" s="1"/>
  <c r="N914" i="3"/>
  <c r="M914" i="3"/>
  <c r="O913" i="3"/>
  <c r="O913" i="3" a="1"/>
  <c r="N913" i="3"/>
  <c r="M913" i="3"/>
  <c r="O912" i="3" a="1"/>
  <c r="O912" i="3" s="1"/>
  <c r="N912" i="3"/>
  <c r="M912" i="3"/>
  <c r="O911" i="3"/>
  <c r="O911" i="3" a="1"/>
  <c r="N911" i="3"/>
  <c r="M911" i="3"/>
  <c r="O910" i="3" a="1"/>
  <c r="O910" i="3" s="1"/>
  <c r="N910" i="3"/>
  <c r="M910" i="3"/>
  <c r="O909" i="3"/>
  <c r="O909" i="3" a="1"/>
  <c r="N909" i="3"/>
  <c r="M909" i="3"/>
  <c r="O908" i="3" a="1"/>
  <c r="O908" i="3" s="1"/>
  <c r="N908" i="3"/>
  <c r="M908" i="3"/>
  <c r="O907" i="3"/>
  <c r="O907" i="3" a="1"/>
  <c r="N907" i="3"/>
  <c r="M907" i="3"/>
  <c r="O906" i="3" a="1"/>
  <c r="O906" i="3" s="1"/>
  <c r="N906" i="3"/>
  <c r="M906" i="3"/>
  <c r="O905" i="3"/>
  <c r="O905" i="3" a="1"/>
  <c r="N905" i="3"/>
  <c r="M905" i="3"/>
  <c r="O904" i="3" a="1"/>
  <c r="O904" i="3" s="1"/>
  <c r="N904" i="3"/>
  <c r="M904" i="3"/>
  <c r="O903" i="3" a="1"/>
  <c r="O903" i="3" s="1"/>
  <c r="N903" i="3"/>
  <c r="M903" i="3"/>
  <c r="O902" i="3" a="1"/>
  <c r="O902" i="3" s="1"/>
  <c r="N902" i="3"/>
  <c r="M902" i="3"/>
  <c r="O901" i="3" a="1"/>
  <c r="O901" i="3" s="1"/>
  <c r="N901" i="3"/>
  <c r="M901" i="3"/>
  <c r="O900" i="3" a="1"/>
  <c r="O900" i="3" s="1"/>
  <c r="N900" i="3"/>
  <c r="M900" i="3"/>
  <c r="O899" i="3"/>
  <c r="O899" i="3" a="1"/>
  <c r="N899" i="3"/>
  <c r="M899" i="3"/>
  <c r="O898" i="3" a="1"/>
  <c r="O898" i="3" s="1"/>
  <c r="N898" i="3"/>
  <c r="M898" i="3"/>
  <c r="O897" i="3"/>
  <c r="O897" i="3" a="1"/>
  <c r="N897" i="3"/>
  <c r="M897" i="3"/>
  <c r="O896" i="3" a="1"/>
  <c r="O896" i="3" s="1"/>
  <c r="N896" i="3"/>
  <c r="M896" i="3"/>
  <c r="O895" i="3" a="1"/>
  <c r="O895" i="3" s="1"/>
  <c r="N895" i="3"/>
  <c r="M895" i="3"/>
  <c r="O894" i="3" a="1"/>
  <c r="O894" i="3" s="1"/>
  <c r="N894" i="3"/>
  <c r="M894" i="3"/>
  <c r="O893" i="3"/>
  <c r="O893" i="3" a="1"/>
  <c r="N893" i="3"/>
  <c r="M893" i="3"/>
  <c r="O892" i="3" a="1"/>
  <c r="O892" i="3" s="1"/>
  <c r="N892" i="3"/>
  <c r="M892" i="3"/>
  <c r="O891" i="3"/>
  <c r="O891" i="3" a="1"/>
  <c r="N891" i="3"/>
  <c r="M891" i="3"/>
  <c r="O890" i="3" a="1"/>
  <c r="O890" i="3" s="1"/>
  <c r="N890" i="3"/>
  <c r="M890" i="3"/>
  <c r="O889" i="3"/>
  <c r="O889" i="3" a="1"/>
  <c r="N889" i="3"/>
  <c r="M889" i="3"/>
  <c r="O888" i="3" a="1"/>
  <c r="O888" i="3" s="1"/>
  <c r="N888" i="3"/>
  <c r="M888" i="3"/>
  <c r="O887" i="3" a="1"/>
  <c r="O887" i="3" s="1"/>
  <c r="N887" i="3"/>
  <c r="M887" i="3"/>
  <c r="O886" i="3" a="1"/>
  <c r="O886" i="3" s="1"/>
  <c r="N886" i="3"/>
  <c r="M886" i="3"/>
  <c r="O885" i="3" a="1"/>
  <c r="O885" i="3" s="1"/>
  <c r="N885" i="3"/>
  <c r="M885" i="3"/>
  <c r="O884" i="3" a="1"/>
  <c r="O884" i="3" s="1"/>
  <c r="N884" i="3"/>
  <c r="M884" i="3"/>
  <c r="O883" i="3"/>
  <c r="O883" i="3" a="1"/>
  <c r="N883" i="3"/>
  <c r="M883" i="3"/>
  <c r="O882" i="3" a="1"/>
  <c r="O882" i="3" s="1"/>
  <c r="N882" i="3"/>
  <c r="M882" i="3"/>
  <c r="O881" i="3"/>
  <c r="O881" i="3" a="1"/>
  <c r="N881" i="3"/>
  <c r="M881" i="3"/>
  <c r="O880" i="3" a="1"/>
  <c r="O880" i="3" s="1"/>
  <c r="N880" i="3"/>
  <c r="M880" i="3"/>
  <c r="O879" i="3" a="1"/>
  <c r="O879" i="3" s="1"/>
  <c r="N879" i="3"/>
  <c r="M879" i="3"/>
  <c r="O878" i="3" a="1"/>
  <c r="O878" i="3" s="1"/>
  <c r="N878" i="3"/>
  <c r="M878" i="3"/>
  <c r="O877" i="3"/>
  <c r="O877" i="3" a="1"/>
  <c r="N877" i="3"/>
  <c r="M877" i="3"/>
  <c r="O876" i="3" a="1"/>
  <c r="O876" i="3" s="1"/>
  <c r="N876" i="3"/>
  <c r="M876" i="3"/>
  <c r="O875" i="3" a="1"/>
  <c r="O875" i="3" s="1"/>
  <c r="N875" i="3"/>
  <c r="M875" i="3"/>
  <c r="O874" i="3" a="1"/>
  <c r="O874" i="3" s="1"/>
  <c r="N874" i="3"/>
  <c r="M874" i="3"/>
  <c r="O873" i="3"/>
  <c r="O873" i="3" a="1"/>
  <c r="N873" i="3"/>
  <c r="M873" i="3"/>
  <c r="O872" i="3" a="1"/>
  <c r="O872" i="3" s="1"/>
  <c r="N872" i="3"/>
  <c r="M872" i="3"/>
  <c r="O871" i="3" a="1"/>
  <c r="O871" i="3" s="1"/>
  <c r="N871" i="3"/>
  <c r="M871" i="3"/>
  <c r="O870" i="3" a="1"/>
  <c r="O870" i="3" s="1"/>
  <c r="N870" i="3"/>
  <c r="M870" i="3"/>
  <c r="O869" i="3" a="1"/>
  <c r="O869" i="3" s="1"/>
  <c r="N869" i="3"/>
  <c r="M869" i="3"/>
  <c r="O868" i="3" a="1"/>
  <c r="O868" i="3" s="1"/>
  <c r="N868" i="3"/>
  <c r="M868" i="3"/>
  <c r="O867" i="3"/>
  <c r="O867" i="3" a="1"/>
  <c r="N867" i="3"/>
  <c r="M867" i="3"/>
  <c r="O866" i="3" a="1"/>
  <c r="O866" i="3" s="1"/>
  <c r="N866" i="3"/>
  <c r="M866" i="3"/>
  <c r="O865" i="3"/>
  <c r="O865" i="3" a="1"/>
  <c r="N865" i="3"/>
  <c r="M865" i="3"/>
  <c r="O864" i="3" a="1"/>
  <c r="O864" i="3" s="1"/>
  <c r="N864" i="3"/>
  <c r="M864" i="3"/>
  <c r="O863" i="3"/>
  <c r="O863" i="3" a="1"/>
  <c r="N863" i="3"/>
  <c r="M863" i="3"/>
  <c r="O862" i="3" a="1"/>
  <c r="O862" i="3" s="1"/>
  <c r="N862" i="3"/>
  <c r="M862" i="3"/>
  <c r="O861" i="3"/>
  <c r="O861" i="3" a="1"/>
  <c r="N861" i="3"/>
  <c r="M861" i="3"/>
  <c r="O860" i="3" a="1"/>
  <c r="O860" i="3" s="1"/>
  <c r="N860" i="3"/>
  <c r="M860" i="3"/>
  <c r="O859" i="3"/>
  <c r="O859" i="3" a="1"/>
  <c r="N859" i="3"/>
  <c r="M859" i="3"/>
  <c r="O858" i="3" a="1"/>
  <c r="O858" i="3" s="1"/>
  <c r="N858" i="3"/>
  <c r="M858" i="3"/>
  <c r="O857" i="3"/>
  <c r="O857" i="3" a="1"/>
  <c r="N857" i="3"/>
  <c r="M857" i="3"/>
  <c r="O856" i="3" a="1"/>
  <c r="O856" i="3" s="1"/>
  <c r="N856" i="3"/>
  <c r="M856" i="3"/>
  <c r="O855" i="3"/>
  <c r="O855" i="3" a="1"/>
  <c r="N855" i="3"/>
  <c r="M855" i="3"/>
  <c r="O854" i="3" a="1"/>
  <c r="O854" i="3" s="1"/>
  <c r="N854" i="3"/>
  <c r="M854" i="3"/>
  <c r="O853" i="3"/>
  <c r="O853" i="3" a="1"/>
  <c r="N853" i="3"/>
  <c r="M853" i="3"/>
  <c r="O852" i="3" a="1"/>
  <c r="O852" i="3" s="1"/>
  <c r="N852" i="3"/>
  <c r="M852" i="3"/>
  <c r="O851" i="3"/>
  <c r="O851" i="3" a="1"/>
  <c r="N851" i="3"/>
  <c r="M851" i="3"/>
  <c r="O850" i="3" a="1"/>
  <c r="O850" i="3" s="1"/>
  <c r="N850" i="3"/>
  <c r="M850" i="3"/>
  <c r="O849" i="3"/>
  <c r="O849" i="3" a="1"/>
  <c r="N849" i="3"/>
  <c r="M849" i="3"/>
  <c r="O848" i="3" a="1"/>
  <c r="O848" i="3" s="1"/>
  <c r="N848" i="3"/>
  <c r="M848" i="3"/>
  <c r="O847" i="3"/>
  <c r="O847" i="3" a="1"/>
  <c r="N847" i="3"/>
  <c r="M847" i="3"/>
  <c r="O846" i="3" a="1"/>
  <c r="O846" i="3" s="1"/>
  <c r="N846" i="3"/>
  <c r="M846" i="3"/>
  <c r="O845" i="3"/>
  <c r="O845" i="3" a="1"/>
  <c r="N845" i="3"/>
  <c r="M845" i="3"/>
  <c r="O844" i="3" a="1"/>
  <c r="O844" i="3" s="1"/>
  <c r="N844" i="3"/>
  <c r="M844" i="3"/>
  <c r="O843" i="3"/>
  <c r="O843" i="3" a="1"/>
  <c r="N843" i="3"/>
  <c r="M843" i="3"/>
  <c r="O842" i="3" a="1"/>
  <c r="O842" i="3" s="1"/>
  <c r="N842" i="3"/>
  <c r="M842" i="3"/>
  <c r="O841" i="3"/>
  <c r="O841" i="3" a="1"/>
  <c r="N841" i="3"/>
  <c r="M841" i="3"/>
  <c r="O840" i="3" a="1"/>
  <c r="O840" i="3" s="1"/>
  <c r="N840" i="3"/>
  <c r="M840" i="3"/>
  <c r="O839" i="3"/>
  <c r="O839" i="3" a="1"/>
  <c r="N839" i="3"/>
  <c r="M839" i="3"/>
  <c r="O838" i="3" a="1"/>
  <c r="O838" i="3" s="1"/>
  <c r="N838" i="3"/>
  <c r="M838" i="3"/>
  <c r="O837" i="3"/>
  <c r="O837" i="3" a="1"/>
  <c r="N837" i="3"/>
  <c r="M837" i="3"/>
  <c r="O836" i="3" a="1"/>
  <c r="O836" i="3" s="1"/>
  <c r="N836" i="3"/>
  <c r="M836" i="3"/>
  <c r="O835" i="3"/>
  <c r="O835" i="3" a="1"/>
  <c r="N835" i="3"/>
  <c r="M835" i="3"/>
  <c r="O834" i="3" a="1"/>
  <c r="O834" i="3" s="1"/>
  <c r="N834" i="3"/>
  <c r="M834" i="3"/>
  <c r="O833" i="3"/>
  <c r="O833" i="3" a="1"/>
  <c r="N833" i="3"/>
  <c r="M833" i="3"/>
  <c r="O832" i="3" a="1"/>
  <c r="O832" i="3" s="1"/>
  <c r="N832" i="3"/>
  <c r="M832" i="3"/>
  <c r="O831" i="3"/>
  <c r="O831" i="3" a="1"/>
  <c r="N831" i="3"/>
  <c r="M831" i="3"/>
  <c r="O830" i="3" a="1"/>
  <c r="O830" i="3" s="1"/>
  <c r="N830" i="3"/>
  <c r="M830" i="3"/>
  <c r="O829" i="3"/>
  <c r="O829" i="3" a="1"/>
  <c r="N829" i="3"/>
  <c r="M829" i="3"/>
  <c r="O828" i="3" a="1"/>
  <c r="O828" i="3" s="1"/>
  <c r="N828" i="3"/>
  <c r="M828" i="3"/>
  <c r="O827" i="3"/>
  <c r="O827" i="3" a="1"/>
  <c r="N827" i="3"/>
  <c r="M827" i="3"/>
  <c r="O826" i="3" a="1"/>
  <c r="O826" i="3" s="1"/>
  <c r="N826" i="3"/>
  <c r="M826" i="3"/>
  <c r="O825" i="3"/>
  <c r="O825" i="3" a="1"/>
  <c r="N825" i="3"/>
  <c r="M825" i="3"/>
  <c r="O824" i="3" a="1"/>
  <c r="O824" i="3" s="1"/>
  <c r="N824" i="3"/>
  <c r="M824" i="3"/>
  <c r="O823" i="3"/>
  <c r="O823" i="3" a="1"/>
  <c r="N823" i="3"/>
  <c r="M823" i="3"/>
  <c r="O822" i="3" a="1"/>
  <c r="O822" i="3" s="1"/>
  <c r="N822" i="3"/>
  <c r="M822" i="3"/>
  <c r="O821" i="3"/>
  <c r="O821" i="3" a="1"/>
  <c r="N821" i="3"/>
  <c r="M821" i="3"/>
  <c r="O820" i="3" a="1"/>
  <c r="O820" i="3" s="1"/>
  <c r="N820" i="3"/>
  <c r="M820" i="3"/>
  <c r="O819" i="3"/>
  <c r="O819" i="3" a="1"/>
  <c r="N819" i="3"/>
  <c r="M819" i="3"/>
  <c r="O818" i="3" a="1"/>
  <c r="O818" i="3" s="1"/>
  <c r="N818" i="3"/>
  <c r="M818" i="3"/>
  <c r="O817" i="3"/>
  <c r="O817" i="3" a="1"/>
  <c r="N817" i="3"/>
  <c r="M817" i="3"/>
  <c r="O816" i="3" a="1"/>
  <c r="O816" i="3" s="1"/>
  <c r="N816" i="3"/>
  <c r="M816" i="3"/>
  <c r="O815" i="3"/>
  <c r="O815" i="3" a="1"/>
  <c r="N815" i="3"/>
  <c r="M815" i="3"/>
  <c r="O814" i="3" a="1"/>
  <c r="O814" i="3" s="1"/>
  <c r="N814" i="3"/>
  <c r="M814" i="3"/>
  <c r="O813" i="3"/>
  <c r="O813" i="3" a="1"/>
  <c r="N813" i="3"/>
  <c r="M813" i="3"/>
  <c r="O812" i="3" a="1"/>
  <c r="O812" i="3" s="1"/>
  <c r="N812" i="3"/>
  <c r="M812" i="3"/>
  <c r="O811" i="3"/>
  <c r="O811" i="3" a="1"/>
  <c r="N811" i="3"/>
  <c r="M811" i="3"/>
  <c r="O810" i="3" a="1"/>
  <c r="O810" i="3" s="1"/>
  <c r="N810" i="3"/>
  <c r="M810" i="3"/>
  <c r="O809" i="3"/>
  <c r="O809" i="3" a="1"/>
  <c r="N809" i="3"/>
  <c r="M809" i="3"/>
  <c r="O808" i="3" a="1"/>
  <c r="O808" i="3" s="1"/>
  <c r="N808" i="3"/>
  <c r="M808" i="3"/>
  <c r="O807" i="3"/>
  <c r="O807" i="3" a="1"/>
  <c r="N807" i="3"/>
  <c r="M807" i="3"/>
  <c r="O806" i="3" a="1"/>
  <c r="O806" i="3" s="1"/>
  <c r="N806" i="3"/>
  <c r="M806" i="3"/>
  <c r="O805" i="3"/>
  <c r="O805" i="3" a="1"/>
  <c r="N805" i="3"/>
  <c r="M805" i="3"/>
  <c r="O804" i="3" a="1"/>
  <c r="O804" i="3" s="1"/>
  <c r="N804" i="3"/>
  <c r="M804" i="3"/>
  <c r="O803" i="3"/>
  <c r="O803" i="3" a="1"/>
  <c r="N803" i="3"/>
  <c r="M803" i="3"/>
  <c r="O802" i="3" a="1"/>
  <c r="O802" i="3" s="1"/>
  <c r="N802" i="3"/>
  <c r="M802" i="3"/>
  <c r="O801" i="3"/>
  <c r="O801" i="3" a="1"/>
  <c r="N801" i="3"/>
  <c r="M801" i="3"/>
  <c r="O800" i="3" a="1"/>
  <c r="O800" i="3" s="1"/>
  <c r="N800" i="3"/>
  <c r="M800" i="3"/>
  <c r="O799" i="3"/>
  <c r="O799" i="3" a="1"/>
  <c r="N799" i="3"/>
  <c r="M799" i="3"/>
  <c r="O798" i="3" a="1"/>
  <c r="O798" i="3" s="1"/>
  <c r="N798" i="3"/>
  <c r="M798" i="3"/>
  <c r="O797" i="3"/>
  <c r="O797" i="3" a="1"/>
  <c r="N797" i="3"/>
  <c r="M797" i="3"/>
  <c r="O796" i="3" a="1"/>
  <c r="O796" i="3" s="1"/>
  <c r="N796" i="3"/>
  <c r="M796" i="3"/>
  <c r="O795" i="3"/>
  <c r="O795" i="3" a="1"/>
  <c r="N795" i="3"/>
  <c r="M795" i="3"/>
  <c r="O794" i="3" a="1"/>
  <c r="O794" i="3" s="1"/>
  <c r="N794" i="3"/>
  <c r="M794" i="3"/>
  <c r="O793" i="3"/>
  <c r="O793" i="3" a="1"/>
  <c r="N793" i="3"/>
  <c r="M793" i="3"/>
  <c r="O792" i="3" a="1"/>
  <c r="O792" i="3" s="1"/>
  <c r="N792" i="3"/>
  <c r="M792" i="3"/>
  <c r="O791" i="3"/>
  <c r="O791" i="3" a="1"/>
  <c r="N791" i="3"/>
  <c r="M791" i="3"/>
  <c r="O790" i="3" a="1"/>
  <c r="O790" i="3" s="1"/>
  <c r="N790" i="3"/>
  <c r="M790" i="3"/>
  <c r="O789" i="3"/>
  <c r="O789" i="3" a="1"/>
  <c r="N789" i="3"/>
  <c r="M789" i="3"/>
  <c r="O788" i="3" a="1"/>
  <c r="O788" i="3" s="1"/>
  <c r="N788" i="3"/>
  <c r="M788" i="3"/>
  <c r="O787" i="3" a="1"/>
  <c r="O787" i="3" s="1"/>
  <c r="N787" i="3"/>
  <c r="M787" i="3"/>
  <c r="O786" i="3"/>
  <c r="O786" i="3" a="1"/>
  <c r="N786" i="3"/>
  <c r="M786" i="3"/>
  <c r="O785" i="3" a="1"/>
  <c r="O785" i="3" s="1"/>
  <c r="N785" i="3"/>
  <c r="M785" i="3"/>
  <c r="O784" i="3" a="1"/>
  <c r="O784" i="3" s="1"/>
  <c r="N784" i="3"/>
  <c r="M784" i="3"/>
  <c r="O783" i="3" a="1"/>
  <c r="O783" i="3" s="1"/>
  <c r="N783" i="3"/>
  <c r="M783" i="3"/>
  <c r="O782" i="3" a="1"/>
  <c r="O782" i="3" s="1"/>
  <c r="N782" i="3"/>
  <c r="M782" i="3"/>
  <c r="O781" i="3" a="1"/>
  <c r="O781" i="3" s="1"/>
  <c r="N781" i="3"/>
  <c r="M781" i="3"/>
  <c r="O780" i="3"/>
  <c r="O780" i="3" a="1"/>
  <c r="N780" i="3"/>
  <c r="M780" i="3"/>
  <c r="O779" i="3" a="1"/>
  <c r="O779" i="3" s="1"/>
  <c r="N779" i="3"/>
  <c r="M779" i="3"/>
  <c r="O778" i="3" a="1"/>
  <c r="O778" i="3" s="1"/>
  <c r="N778" i="3"/>
  <c r="M778" i="3"/>
  <c r="O777" i="3" a="1"/>
  <c r="O777" i="3" s="1"/>
  <c r="N777" i="3"/>
  <c r="M777" i="3"/>
  <c r="O776" i="3" a="1"/>
  <c r="O776" i="3" s="1"/>
  <c r="N776" i="3"/>
  <c r="M776" i="3"/>
  <c r="O775" i="3" a="1"/>
  <c r="O775" i="3" s="1"/>
  <c r="N775" i="3"/>
  <c r="M775" i="3"/>
  <c r="O774" i="3"/>
  <c r="O774" i="3" a="1"/>
  <c r="N774" i="3"/>
  <c r="M774" i="3"/>
  <c r="O773" i="3" a="1"/>
  <c r="O773" i="3" s="1"/>
  <c r="N773" i="3"/>
  <c r="M773" i="3"/>
  <c r="O772" i="3" a="1"/>
  <c r="O772" i="3" s="1"/>
  <c r="N772" i="3"/>
  <c r="M772" i="3"/>
  <c r="O771" i="3" a="1"/>
  <c r="O771" i="3" s="1"/>
  <c r="N771" i="3"/>
  <c r="M771" i="3"/>
  <c r="O770" i="3"/>
  <c r="O770" i="3" a="1"/>
  <c r="N770" i="3"/>
  <c r="M770" i="3"/>
  <c r="O769" i="3" a="1"/>
  <c r="O769" i="3" s="1"/>
  <c r="N769" i="3"/>
  <c r="M769" i="3"/>
  <c r="O768" i="3" a="1"/>
  <c r="O768" i="3" s="1"/>
  <c r="N768" i="3"/>
  <c r="M768" i="3"/>
  <c r="O767" i="3" a="1"/>
  <c r="O767" i="3" s="1"/>
  <c r="N767" i="3"/>
  <c r="M767" i="3"/>
  <c r="O766" i="3" a="1"/>
  <c r="O766" i="3" s="1"/>
  <c r="N766" i="3"/>
  <c r="M766" i="3"/>
  <c r="O765" i="3" a="1"/>
  <c r="O765" i="3" s="1"/>
  <c r="N765" i="3"/>
  <c r="M765" i="3"/>
  <c r="O764" i="3"/>
  <c r="O764" i="3" a="1"/>
  <c r="N764" i="3"/>
  <c r="M764" i="3"/>
  <c r="O763" i="3" a="1"/>
  <c r="O763" i="3" s="1"/>
  <c r="N763" i="3"/>
  <c r="M763" i="3"/>
  <c r="O762" i="3" a="1"/>
  <c r="O762" i="3" s="1"/>
  <c r="N762" i="3"/>
  <c r="M762" i="3"/>
  <c r="O761" i="3" a="1"/>
  <c r="O761" i="3" s="1"/>
  <c r="N761" i="3"/>
  <c r="M761" i="3"/>
  <c r="O760" i="3" a="1"/>
  <c r="O760" i="3" s="1"/>
  <c r="N760" i="3"/>
  <c r="M760" i="3"/>
  <c r="O759" i="3" a="1"/>
  <c r="O759" i="3" s="1"/>
  <c r="N759" i="3"/>
  <c r="M759" i="3"/>
  <c r="O758" i="3"/>
  <c r="O758" i="3" a="1"/>
  <c r="N758" i="3"/>
  <c r="M758" i="3"/>
  <c r="O757" i="3" a="1"/>
  <c r="O757" i="3" s="1"/>
  <c r="N757" i="3"/>
  <c r="M757" i="3"/>
  <c r="O756" i="3" a="1"/>
  <c r="O756" i="3" s="1"/>
  <c r="N756" i="3"/>
  <c r="M756" i="3"/>
  <c r="O755" i="3" a="1"/>
  <c r="O755" i="3" s="1"/>
  <c r="N755" i="3"/>
  <c r="M755" i="3"/>
  <c r="O754" i="3"/>
  <c r="O754" i="3" a="1"/>
  <c r="N754" i="3"/>
  <c r="M754" i="3"/>
  <c r="O753" i="3" a="1"/>
  <c r="O753" i="3" s="1"/>
  <c r="N753" i="3"/>
  <c r="M753" i="3"/>
  <c r="O752" i="3" a="1"/>
  <c r="O752" i="3" s="1"/>
  <c r="N752" i="3"/>
  <c r="M752" i="3"/>
  <c r="O751" i="3" a="1"/>
  <c r="O751" i="3" s="1"/>
  <c r="N751" i="3"/>
  <c r="M751" i="3"/>
  <c r="O750" i="3" a="1"/>
  <c r="O750" i="3" s="1"/>
  <c r="N750" i="3"/>
  <c r="M750" i="3"/>
  <c r="O749" i="3" a="1"/>
  <c r="O749" i="3" s="1"/>
  <c r="N749" i="3"/>
  <c r="M749" i="3"/>
  <c r="O748" i="3"/>
  <c r="O748" i="3" a="1"/>
  <c r="N748" i="3"/>
  <c r="M748" i="3"/>
  <c r="O747" i="3" a="1"/>
  <c r="O747" i="3" s="1"/>
  <c r="N747" i="3"/>
  <c r="M747" i="3"/>
  <c r="O746" i="3" a="1"/>
  <c r="O746" i="3" s="1"/>
  <c r="N746" i="3"/>
  <c r="M746" i="3"/>
  <c r="O745" i="3" a="1"/>
  <c r="O745" i="3" s="1"/>
  <c r="N745" i="3"/>
  <c r="M745" i="3"/>
  <c r="O744" i="3" a="1"/>
  <c r="O744" i="3" s="1"/>
  <c r="N744" i="3"/>
  <c r="M744" i="3"/>
  <c r="O743" i="3" a="1"/>
  <c r="O743" i="3" s="1"/>
  <c r="N743" i="3"/>
  <c r="M743" i="3"/>
  <c r="O742" i="3"/>
  <c r="O742" i="3" a="1"/>
  <c r="N742" i="3"/>
  <c r="M742" i="3"/>
  <c r="O741" i="3" a="1"/>
  <c r="O741" i="3" s="1"/>
  <c r="N741" i="3"/>
  <c r="M741" i="3"/>
  <c r="O740" i="3" a="1"/>
  <c r="O740" i="3" s="1"/>
  <c r="N740" i="3"/>
  <c r="M740" i="3"/>
  <c r="O739" i="3" a="1"/>
  <c r="O739" i="3" s="1"/>
  <c r="N739" i="3"/>
  <c r="M739" i="3"/>
  <c r="O738" i="3"/>
  <c r="O738" i="3" a="1"/>
  <c r="N738" i="3"/>
  <c r="M738" i="3"/>
  <c r="O737" i="3" a="1"/>
  <c r="O737" i="3" s="1"/>
  <c r="N737" i="3"/>
  <c r="M737" i="3"/>
  <c r="O736" i="3" a="1"/>
  <c r="O736" i="3" s="1"/>
  <c r="N736" i="3"/>
  <c r="M736" i="3"/>
  <c r="O735" i="3" a="1"/>
  <c r="O735" i="3" s="1"/>
  <c r="N735" i="3"/>
  <c r="M735" i="3"/>
  <c r="O734" i="3" a="1"/>
  <c r="O734" i="3" s="1"/>
  <c r="N734" i="3"/>
  <c r="M734" i="3"/>
  <c r="O733" i="3" a="1"/>
  <c r="O733" i="3" s="1"/>
  <c r="N733" i="3"/>
  <c r="M733" i="3"/>
  <c r="O732" i="3"/>
  <c r="O732" i="3" a="1"/>
  <c r="N732" i="3"/>
  <c r="M732" i="3"/>
  <c r="O731" i="3" a="1"/>
  <c r="O731" i="3" s="1"/>
  <c r="N731" i="3"/>
  <c r="M731" i="3"/>
  <c r="O730" i="3" a="1"/>
  <c r="O730" i="3" s="1"/>
  <c r="N730" i="3"/>
  <c r="M730" i="3"/>
  <c r="O729" i="3" a="1"/>
  <c r="O729" i="3" s="1"/>
  <c r="N729" i="3"/>
  <c r="M729" i="3"/>
  <c r="O728" i="3" a="1"/>
  <c r="O728" i="3" s="1"/>
  <c r="N728" i="3"/>
  <c r="M728" i="3"/>
  <c r="O727" i="3" a="1"/>
  <c r="O727" i="3" s="1"/>
  <c r="N727" i="3"/>
  <c r="M727" i="3"/>
  <c r="O726" i="3"/>
  <c r="O726" i="3" a="1"/>
  <c r="N726" i="3"/>
  <c r="M726" i="3"/>
  <c r="O725" i="3" a="1"/>
  <c r="O725" i="3" s="1"/>
  <c r="N725" i="3"/>
  <c r="M725" i="3"/>
  <c r="O724" i="3" a="1"/>
  <c r="O724" i="3" s="1"/>
  <c r="N724" i="3"/>
  <c r="M724" i="3"/>
  <c r="O723" i="3" a="1"/>
  <c r="O723" i="3" s="1"/>
  <c r="N723" i="3"/>
  <c r="M723" i="3"/>
  <c r="O722" i="3"/>
  <c r="O722" i="3" a="1"/>
  <c r="N722" i="3"/>
  <c r="M722" i="3"/>
  <c r="O721" i="3" a="1"/>
  <c r="O721" i="3" s="1"/>
  <c r="N721" i="3"/>
  <c r="M721" i="3"/>
  <c r="O720" i="3" a="1"/>
  <c r="O720" i="3" s="1"/>
  <c r="N720" i="3"/>
  <c r="M720" i="3"/>
  <c r="O719" i="3" a="1"/>
  <c r="O719" i="3" s="1"/>
  <c r="N719" i="3"/>
  <c r="M719" i="3"/>
  <c r="O718" i="3"/>
  <c r="O718" i="3" a="1"/>
  <c r="N718" i="3"/>
  <c r="M718" i="3"/>
  <c r="O717" i="3" a="1"/>
  <c r="O717" i="3" s="1"/>
  <c r="N717" i="3"/>
  <c r="M717" i="3"/>
  <c r="O716" i="3"/>
  <c r="O716" i="3" a="1"/>
  <c r="N716" i="3"/>
  <c r="M716" i="3"/>
  <c r="O715" i="3" a="1"/>
  <c r="O715" i="3" s="1"/>
  <c r="N715" i="3"/>
  <c r="M715" i="3"/>
  <c r="O714" i="3" a="1"/>
  <c r="O714" i="3" s="1"/>
  <c r="N714" i="3"/>
  <c r="M714" i="3"/>
  <c r="O713" i="3" a="1"/>
  <c r="O713" i="3" s="1"/>
  <c r="N713" i="3"/>
  <c r="M713" i="3"/>
  <c r="O712" i="3" a="1"/>
  <c r="O712" i="3" s="1"/>
  <c r="N712" i="3"/>
  <c r="M712" i="3"/>
  <c r="O711" i="3" a="1"/>
  <c r="O711" i="3" s="1"/>
  <c r="N711" i="3"/>
  <c r="M711" i="3"/>
  <c r="O710" i="3"/>
  <c r="O710" i="3" a="1"/>
  <c r="N710" i="3"/>
  <c r="M710" i="3"/>
  <c r="O709" i="3" a="1"/>
  <c r="O709" i="3" s="1"/>
  <c r="N709" i="3"/>
  <c r="M709" i="3"/>
  <c r="O708" i="3" a="1"/>
  <c r="O708" i="3" s="1"/>
  <c r="N708" i="3"/>
  <c r="M708" i="3"/>
  <c r="O707" i="3" a="1"/>
  <c r="O707" i="3" s="1"/>
  <c r="N707" i="3"/>
  <c r="M707" i="3"/>
  <c r="O706" i="3"/>
  <c r="O706" i="3" a="1"/>
  <c r="N706" i="3"/>
  <c r="M706" i="3"/>
  <c r="O705" i="3" a="1"/>
  <c r="O705" i="3" s="1"/>
  <c r="N705" i="3"/>
  <c r="M705" i="3"/>
  <c r="O704" i="3" a="1"/>
  <c r="O704" i="3" s="1"/>
  <c r="N704" i="3"/>
  <c r="M704" i="3"/>
  <c r="O703" i="3" a="1"/>
  <c r="O703" i="3" s="1"/>
  <c r="N703" i="3"/>
  <c r="M703" i="3"/>
  <c r="O702" i="3"/>
  <c r="O702" i="3" a="1"/>
  <c r="N702" i="3"/>
  <c r="M702" i="3"/>
  <c r="O701" i="3" a="1"/>
  <c r="O701" i="3" s="1"/>
  <c r="N701" i="3"/>
  <c r="M701" i="3"/>
  <c r="O700" i="3"/>
  <c r="O700" i="3" a="1"/>
  <c r="N700" i="3"/>
  <c r="M700" i="3"/>
  <c r="O699" i="3" a="1"/>
  <c r="O699" i="3" s="1"/>
  <c r="N699" i="3"/>
  <c r="M699" i="3"/>
  <c r="O698" i="3" a="1"/>
  <c r="O698" i="3" s="1"/>
  <c r="N698" i="3"/>
  <c r="M698" i="3"/>
  <c r="O697" i="3" a="1"/>
  <c r="O697" i="3" s="1"/>
  <c r="N697" i="3"/>
  <c r="M697" i="3"/>
  <c r="O696" i="3" a="1"/>
  <c r="O696" i="3" s="1"/>
  <c r="N696" i="3"/>
  <c r="M696" i="3"/>
  <c r="O695" i="3" a="1"/>
  <c r="O695" i="3" s="1"/>
  <c r="N695" i="3"/>
  <c r="M695" i="3"/>
  <c r="O694" i="3"/>
  <c r="O694" i="3" a="1"/>
  <c r="N694" i="3"/>
  <c r="M694" i="3"/>
  <c r="O693" i="3" a="1"/>
  <c r="O693" i="3" s="1"/>
  <c r="N693" i="3"/>
  <c r="M693" i="3"/>
  <c r="O692" i="3" a="1"/>
  <c r="O692" i="3" s="1"/>
  <c r="N692" i="3"/>
  <c r="M692" i="3"/>
  <c r="O691" i="3" a="1"/>
  <c r="O691" i="3" s="1"/>
  <c r="N691" i="3"/>
  <c r="M691" i="3"/>
  <c r="O690" i="3"/>
  <c r="O690" i="3" a="1"/>
  <c r="N690" i="3"/>
  <c r="M690" i="3"/>
  <c r="O689" i="3" a="1"/>
  <c r="O689" i="3" s="1"/>
  <c r="N689" i="3"/>
  <c r="M689" i="3"/>
  <c r="O688" i="3" a="1"/>
  <c r="O688" i="3" s="1"/>
  <c r="N688" i="3"/>
  <c r="M688" i="3"/>
  <c r="O687" i="3" a="1"/>
  <c r="O687" i="3" s="1"/>
  <c r="N687" i="3"/>
  <c r="M687" i="3"/>
  <c r="O686" i="3"/>
  <c r="O686" i="3" a="1"/>
  <c r="N686" i="3"/>
  <c r="M686" i="3"/>
  <c r="O685" i="3" a="1"/>
  <c r="O685" i="3" s="1"/>
  <c r="N685" i="3"/>
  <c r="M685" i="3"/>
  <c r="O684" i="3"/>
  <c r="O684" i="3" a="1"/>
  <c r="N684" i="3"/>
  <c r="M684" i="3"/>
  <c r="O683" i="3" a="1"/>
  <c r="O683" i="3" s="1"/>
  <c r="N683" i="3"/>
  <c r="M683" i="3"/>
  <c r="O682" i="3" a="1"/>
  <c r="O682" i="3" s="1"/>
  <c r="N682" i="3"/>
  <c r="M682" i="3"/>
  <c r="O681" i="3" a="1"/>
  <c r="O681" i="3" s="1"/>
  <c r="N681" i="3"/>
  <c r="M681" i="3"/>
  <c r="O680" i="3" a="1"/>
  <c r="O680" i="3" s="1"/>
  <c r="N680" i="3"/>
  <c r="M680" i="3"/>
  <c r="O679" i="3" a="1"/>
  <c r="O679" i="3" s="1"/>
  <c r="N679" i="3"/>
  <c r="M679" i="3"/>
  <c r="O678" i="3"/>
  <c r="O678" i="3" a="1"/>
  <c r="N678" i="3"/>
  <c r="M678" i="3"/>
  <c r="O677" i="3" a="1"/>
  <c r="O677" i="3" s="1"/>
  <c r="N677" i="3"/>
  <c r="M677" i="3"/>
  <c r="O676" i="3" a="1"/>
  <c r="O676" i="3" s="1"/>
  <c r="N676" i="3"/>
  <c r="M676" i="3"/>
  <c r="O675" i="3" a="1"/>
  <c r="O675" i="3" s="1"/>
  <c r="N675" i="3"/>
  <c r="M675" i="3"/>
  <c r="O674" i="3"/>
  <c r="O674" i="3" a="1"/>
  <c r="N674" i="3"/>
  <c r="M674" i="3"/>
  <c r="O673" i="3" a="1"/>
  <c r="O673" i="3" s="1"/>
  <c r="N673" i="3"/>
  <c r="M673" i="3"/>
  <c r="O672" i="3" a="1"/>
  <c r="O672" i="3" s="1"/>
  <c r="N672" i="3"/>
  <c r="M672" i="3"/>
  <c r="O671" i="3" a="1"/>
  <c r="O671" i="3" s="1"/>
  <c r="N671" i="3"/>
  <c r="M671" i="3"/>
  <c r="O670" i="3"/>
  <c r="O670" i="3" a="1"/>
  <c r="N670" i="3"/>
  <c r="M670" i="3"/>
  <c r="O669" i="3" a="1"/>
  <c r="O669" i="3" s="1"/>
  <c r="N669" i="3"/>
  <c r="M669" i="3"/>
  <c r="O668" i="3"/>
  <c r="O668" i="3" a="1"/>
  <c r="N668" i="3"/>
  <c r="M668" i="3"/>
  <c r="O667" i="3" a="1"/>
  <c r="O667" i="3" s="1"/>
  <c r="N667" i="3"/>
  <c r="M667" i="3"/>
  <c r="O666" i="3" a="1"/>
  <c r="O666" i="3" s="1"/>
  <c r="N666" i="3"/>
  <c r="M666" i="3"/>
  <c r="O665" i="3" a="1"/>
  <c r="O665" i="3" s="1"/>
  <c r="N665" i="3"/>
  <c r="M665" i="3"/>
  <c r="O664" i="3" a="1"/>
  <c r="O664" i="3" s="1"/>
  <c r="N664" i="3"/>
  <c r="M664" i="3"/>
  <c r="O663" i="3" a="1"/>
  <c r="O663" i="3" s="1"/>
  <c r="N663" i="3"/>
  <c r="M663" i="3"/>
  <c r="O662" i="3"/>
  <c r="O662" i="3" a="1"/>
  <c r="N662" i="3"/>
  <c r="M662" i="3"/>
  <c r="O661" i="3" a="1"/>
  <c r="O661" i="3" s="1"/>
  <c r="N661" i="3"/>
  <c r="M661" i="3"/>
  <c r="O660" i="3" a="1"/>
  <c r="O660" i="3" s="1"/>
  <c r="N660" i="3"/>
  <c r="M660" i="3"/>
  <c r="O659" i="3" a="1"/>
  <c r="O659" i="3" s="1"/>
  <c r="N659" i="3"/>
  <c r="M659" i="3"/>
  <c r="O658" i="3"/>
  <c r="O658" i="3" a="1"/>
  <c r="N658" i="3"/>
  <c r="M658" i="3"/>
  <c r="O657" i="3" a="1"/>
  <c r="O657" i="3" s="1"/>
  <c r="N657" i="3"/>
  <c r="M657" i="3"/>
  <c r="O656" i="3" a="1"/>
  <c r="O656" i="3" s="1"/>
  <c r="N656" i="3"/>
  <c r="M656" i="3"/>
  <c r="O655" i="3" a="1"/>
  <c r="O655" i="3" s="1"/>
  <c r="N655" i="3"/>
  <c r="M655" i="3"/>
  <c r="O654" i="3" a="1"/>
  <c r="O654" i="3" s="1"/>
  <c r="N654" i="3"/>
  <c r="M654" i="3"/>
  <c r="O653" i="3" a="1"/>
  <c r="O653" i="3" s="1"/>
  <c r="N653" i="3"/>
  <c r="M653" i="3"/>
  <c r="O652" i="3"/>
  <c r="O652" i="3" a="1"/>
  <c r="N652" i="3"/>
  <c r="M652" i="3"/>
  <c r="O651" i="3" a="1"/>
  <c r="O651" i="3" s="1"/>
  <c r="N651" i="3"/>
  <c r="M651" i="3"/>
  <c r="O650" i="3" a="1"/>
  <c r="O650" i="3" s="1"/>
  <c r="N650" i="3"/>
  <c r="M650" i="3"/>
  <c r="O649" i="3" a="1"/>
  <c r="O649" i="3" s="1"/>
  <c r="N649" i="3"/>
  <c r="M649" i="3"/>
  <c r="O648" i="3" a="1"/>
  <c r="O648" i="3" s="1"/>
  <c r="N648" i="3"/>
  <c r="M648" i="3"/>
  <c r="O647" i="3" a="1"/>
  <c r="O647" i="3" s="1"/>
  <c r="N647" i="3"/>
  <c r="M647" i="3"/>
  <c r="O646" i="3"/>
  <c r="O646" i="3" a="1"/>
  <c r="N646" i="3"/>
  <c r="M646" i="3"/>
  <c r="O645" i="3" a="1"/>
  <c r="O645" i="3" s="1"/>
  <c r="N645" i="3"/>
  <c r="M645" i="3"/>
  <c r="O644" i="3" a="1"/>
  <c r="O644" i="3" s="1"/>
  <c r="N644" i="3"/>
  <c r="M644" i="3"/>
  <c r="O643" i="3" a="1"/>
  <c r="O643" i="3" s="1"/>
  <c r="N643" i="3"/>
  <c r="M643" i="3"/>
  <c r="O642" i="3"/>
  <c r="O642" i="3" a="1"/>
  <c r="N642" i="3"/>
  <c r="M642" i="3"/>
  <c r="O641" i="3" a="1"/>
  <c r="O641" i="3" s="1"/>
  <c r="N641" i="3"/>
  <c r="M641" i="3"/>
  <c r="O640" i="3" a="1"/>
  <c r="O640" i="3" s="1"/>
  <c r="N640" i="3"/>
  <c r="M640" i="3"/>
  <c r="O639" i="3" a="1"/>
  <c r="O639" i="3" s="1"/>
  <c r="N639" i="3"/>
  <c r="M639" i="3"/>
  <c r="O638" i="3" a="1"/>
  <c r="O638" i="3" s="1"/>
  <c r="N638" i="3"/>
  <c r="M638" i="3"/>
  <c r="O637" i="3" a="1"/>
  <c r="O637" i="3" s="1"/>
  <c r="N637" i="3"/>
  <c r="M637" i="3"/>
  <c r="O636" i="3"/>
  <c r="O636" i="3" a="1"/>
  <c r="N636" i="3"/>
  <c r="M636" i="3"/>
  <c r="O635" i="3" a="1"/>
  <c r="O635" i="3" s="1"/>
  <c r="N635" i="3"/>
  <c r="M635" i="3"/>
  <c r="O634" i="3" a="1"/>
  <c r="O634" i="3" s="1"/>
  <c r="N634" i="3"/>
  <c r="M634" i="3"/>
  <c r="O633" i="3" a="1"/>
  <c r="O633" i="3" s="1"/>
  <c r="N633" i="3"/>
  <c r="M633" i="3"/>
  <c r="O632" i="3" a="1"/>
  <c r="O632" i="3" s="1"/>
  <c r="N632" i="3"/>
  <c r="M632" i="3"/>
  <c r="O631" i="3" a="1"/>
  <c r="O631" i="3" s="1"/>
  <c r="N631" i="3"/>
  <c r="M631" i="3"/>
  <c r="O630" i="3"/>
  <c r="O630" i="3" a="1"/>
  <c r="N630" i="3"/>
  <c r="M630" i="3"/>
  <c r="O629" i="3" a="1"/>
  <c r="O629" i="3" s="1"/>
  <c r="N629" i="3"/>
  <c r="M629" i="3"/>
  <c r="O628" i="3" a="1"/>
  <c r="O628" i="3" s="1"/>
  <c r="N628" i="3"/>
  <c r="M628" i="3"/>
  <c r="O627" i="3" a="1"/>
  <c r="O627" i="3" s="1"/>
  <c r="N627" i="3"/>
  <c r="M627" i="3"/>
  <c r="O626" i="3"/>
  <c r="O626" i="3" a="1"/>
  <c r="N626" i="3"/>
  <c r="M626" i="3"/>
  <c r="O625" i="3" a="1"/>
  <c r="O625" i="3" s="1"/>
  <c r="N625" i="3"/>
  <c r="M625" i="3"/>
  <c r="O624" i="3" a="1"/>
  <c r="O624" i="3" s="1"/>
  <c r="N624" i="3"/>
  <c r="M624" i="3"/>
  <c r="O623" i="3" a="1"/>
  <c r="O623" i="3" s="1"/>
  <c r="N623" i="3"/>
  <c r="M623" i="3"/>
  <c r="O622" i="3" a="1"/>
  <c r="O622" i="3" s="1"/>
  <c r="N622" i="3"/>
  <c r="M622" i="3"/>
  <c r="O621" i="3" a="1"/>
  <c r="O621" i="3" s="1"/>
  <c r="N621" i="3"/>
  <c r="M621" i="3"/>
  <c r="O620" i="3"/>
  <c r="O620" i="3" a="1"/>
  <c r="N620" i="3"/>
  <c r="M620" i="3"/>
  <c r="O619" i="3" a="1"/>
  <c r="O619" i="3" s="1"/>
  <c r="N619" i="3"/>
  <c r="M619" i="3"/>
  <c r="O618" i="3" a="1"/>
  <c r="O618" i="3" s="1"/>
  <c r="N618" i="3"/>
  <c r="M618" i="3"/>
  <c r="O617" i="3" a="1"/>
  <c r="O617" i="3" s="1"/>
  <c r="N617" i="3"/>
  <c r="M617" i="3"/>
  <c r="O616" i="3" a="1"/>
  <c r="O616" i="3" s="1"/>
  <c r="N616" i="3"/>
  <c r="M616" i="3"/>
  <c r="O615" i="3" a="1"/>
  <c r="O615" i="3" s="1"/>
  <c r="N615" i="3"/>
  <c r="M615" i="3"/>
  <c r="O614" i="3"/>
  <c r="O614" i="3" a="1"/>
  <c r="N614" i="3"/>
  <c r="M614" i="3"/>
  <c r="O613" i="3" a="1"/>
  <c r="O613" i="3" s="1"/>
  <c r="N613" i="3"/>
  <c r="M613" i="3"/>
  <c r="O612" i="3" a="1"/>
  <c r="O612" i="3" s="1"/>
  <c r="N612" i="3"/>
  <c r="M612" i="3"/>
  <c r="O611" i="3" a="1"/>
  <c r="O611" i="3" s="1"/>
  <c r="N611" i="3"/>
  <c r="M611" i="3"/>
  <c r="O610" i="3"/>
  <c r="O610" i="3" a="1"/>
  <c r="N610" i="3"/>
  <c r="M610" i="3"/>
  <c r="O609" i="3" a="1"/>
  <c r="O609" i="3" s="1"/>
  <c r="N609" i="3"/>
  <c r="M609" i="3"/>
  <c r="O608" i="3" a="1"/>
  <c r="O608" i="3" s="1"/>
  <c r="N608" i="3"/>
  <c r="M608" i="3"/>
  <c r="O607" i="3" a="1"/>
  <c r="O607" i="3" s="1"/>
  <c r="N607" i="3"/>
  <c r="M607" i="3"/>
  <c r="O606" i="3" a="1"/>
  <c r="O606" i="3" s="1"/>
  <c r="N606" i="3"/>
  <c r="M606" i="3"/>
  <c r="O605" i="3" a="1"/>
  <c r="O605" i="3" s="1"/>
  <c r="N605" i="3"/>
  <c r="M605" i="3"/>
  <c r="O604" i="3"/>
  <c r="O604" i="3" a="1"/>
  <c r="N604" i="3"/>
  <c r="M604" i="3"/>
  <c r="O603" i="3" a="1"/>
  <c r="O603" i="3" s="1"/>
  <c r="N603" i="3"/>
  <c r="M603" i="3"/>
  <c r="O602" i="3" a="1"/>
  <c r="O602" i="3" s="1"/>
  <c r="N602" i="3"/>
  <c r="M602" i="3"/>
  <c r="O601" i="3" a="1"/>
  <c r="O601" i="3" s="1"/>
  <c r="N601" i="3"/>
  <c r="M601" i="3"/>
  <c r="O600" i="3" a="1"/>
  <c r="O600" i="3" s="1"/>
  <c r="N600" i="3"/>
  <c r="M600" i="3"/>
  <c r="O599" i="3" a="1"/>
  <c r="O599" i="3" s="1"/>
  <c r="N599" i="3"/>
  <c r="M599" i="3"/>
  <c r="O598" i="3"/>
  <c r="O598" i="3" a="1"/>
  <c r="N598" i="3"/>
  <c r="M598" i="3"/>
  <c r="O597" i="3" a="1"/>
  <c r="O597" i="3" s="1"/>
  <c r="N597" i="3"/>
  <c r="M597" i="3"/>
  <c r="O596" i="3" a="1"/>
  <c r="O596" i="3" s="1"/>
  <c r="N596" i="3"/>
  <c r="M596" i="3"/>
  <c r="O595" i="3" a="1"/>
  <c r="O595" i="3" s="1"/>
  <c r="N595" i="3"/>
  <c r="M595" i="3"/>
  <c r="O594" i="3"/>
  <c r="O594" i="3" a="1"/>
  <c r="N594" i="3"/>
  <c r="M594" i="3"/>
  <c r="O593" i="3" a="1"/>
  <c r="O593" i="3" s="1"/>
  <c r="N593" i="3"/>
  <c r="M593" i="3"/>
  <c r="O592" i="3" a="1"/>
  <c r="O592" i="3" s="1"/>
  <c r="N592" i="3"/>
  <c r="M592" i="3"/>
  <c r="O591" i="3" a="1"/>
  <c r="O591" i="3" s="1"/>
  <c r="N591" i="3"/>
  <c r="M591" i="3"/>
  <c r="O590" i="3" a="1"/>
  <c r="O590" i="3" s="1"/>
  <c r="N590" i="3"/>
  <c r="M590" i="3"/>
  <c r="O589" i="3" a="1"/>
  <c r="O589" i="3" s="1"/>
  <c r="N589" i="3"/>
  <c r="M589" i="3"/>
  <c r="O588" i="3"/>
  <c r="O588" i="3" a="1"/>
  <c r="N588" i="3"/>
  <c r="M588" i="3"/>
  <c r="O587" i="3" a="1"/>
  <c r="O587" i="3" s="1"/>
  <c r="N587" i="3"/>
  <c r="M587" i="3"/>
  <c r="O586" i="3" a="1"/>
  <c r="O586" i="3" s="1"/>
  <c r="N586" i="3"/>
  <c r="M586" i="3"/>
  <c r="O585" i="3" a="1"/>
  <c r="O585" i="3" s="1"/>
  <c r="N585" i="3"/>
  <c r="M585" i="3"/>
  <c r="O584" i="3" a="1"/>
  <c r="O584" i="3" s="1"/>
  <c r="N584" i="3"/>
  <c r="M584" i="3"/>
  <c r="O583" i="3" a="1"/>
  <c r="O583" i="3" s="1"/>
  <c r="N583" i="3"/>
  <c r="M583" i="3"/>
  <c r="O582" i="3"/>
  <c r="O582" i="3" a="1"/>
  <c r="N582" i="3"/>
  <c r="M582" i="3"/>
  <c r="O581" i="3" a="1"/>
  <c r="O581" i="3" s="1"/>
  <c r="N581" i="3"/>
  <c r="M581" i="3"/>
  <c r="O580" i="3" a="1"/>
  <c r="O580" i="3" s="1"/>
  <c r="N580" i="3"/>
  <c r="M580" i="3"/>
  <c r="O579" i="3" a="1"/>
  <c r="O579" i="3" s="1"/>
  <c r="N579" i="3"/>
  <c r="M579" i="3"/>
  <c r="O578" i="3"/>
  <c r="O578" i="3" a="1"/>
  <c r="N578" i="3"/>
  <c r="M578" i="3"/>
  <c r="O577" i="3" a="1"/>
  <c r="O577" i="3" s="1"/>
  <c r="N577" i="3"/>
  <c r="M577" i="3"/>
  <c r="O576" i="3" a="1"/>
  <c r="O576" i="3" s="1"/>
  <c r="N576" i="3"/>
  <c r="M576" i="3"/>
  <c r="O575" i="3" a="1"/>
  <c r="O575" i="3" s="1"/>
  <c r="N575" i="3"/>
  <c r="M575" i="3"/>
  <c r="O574" i="3" a="1"/>
  <c r="O574" i="3" s="1"/>
  <c r="N574" i="3"/>
  <c r="M574" i="3"/>
  <c r="O573" i="3" a="1"/>
  <c r="O573" i="3" s="1"/>
  <c r="N573" i="3"/>
  <c r="M573" i="3"/>
  <c r="O572" i="3"/>
  <c r="O572" i="3" a="1"/>
  <c r="N572" i="3"/>
  <c r="M572" i="3"/>
  <c r="O571" i="3" a="1"/>
  <c r="O571" i="3" s="1"/>
  <c r="N571" i="3"/>
  <c r="M571" i="3"/>
  <c r="O570" i="3" a="1"/>
  <c r="O570" i="3" s="1"/>
  <c r="N570" i="3"/>
  <c r="M570" i="3"/>
  <c r="O569" i="3" a="1"/>
  <c r="O569" i="3" s="1"/>
  <c r="N569" i="3"/>
  <c r="M569" i="3"/>
  <c r="O568" i="3" a="1"/>
  <c r="O568" i="3" s="1"/>
  <c r="N568" i="3"/>
  <c r="M568" i="3"/>
  <c r="O567" i="3" a="1"/>
  <c r="O567" i="3" s="1"/>
  <c r="N567" i="3"/>
  <c r="M567" i="3"/>
  <c r="O566" i="3"/>
  <c r="O566" i="3" a="1"/>
  <c r="N566" i="3"/>
  <c r="M566" i="3"/>
  <c r="O565" i="3" a="1"/>
  <c r="O565" i="3" s="1"/>
  <c r="N565" i="3"/>
  <c r="M565" i="3"/>
  <c r="O564" i="3" a="1"/>
  <c r="O564" i="3" s="1"/>
  <c r="N564" i="3"/>
  <c r="M564" i="3"/>
  <c r="O563" i="3" a="1"/>
  <c r="O563" i="3" s="1"/>
  <c r="N563" i="3"/>
  <c r="M563" i="3"/>
  <c r="O562" i="3"/>
  <c r="O562" i="3" a="1"/>
  <c r="N562" i="3"/>
  <c r="M562" i="3"/>
  <c r="O561" i="3" a="1"/>
  <c r="O561" i="3" s="1"/>
  <c r="N561" i="3"/>
  <c r="M561" i="3"/>
  <c r="O560" i="3" a="1"/>
  <c r="O560" i="3" s="1"/>
  <c r="N560" i="3"/>
  <c r="M560" i="3"/>
  <c r="O559" i="3" a="1"/>
  <c r="O559" i="3" s="1"/>
  <c r="N559" i="3"/>
  <c r="M559" i="3"/>
  <c r="O558" i="3" a="1"/>
  <c r="O558" i="3" s="1"/>
  <c r="N558" i="3"/>
  <c r="M558" i="3"/>
  <c r="O557" i="3" a="1"/>
  <c r="O557" i="3" s="1"/>
  <c r="N557" i="3"/>
  <c r="M557" i="3"/>
  <c r="O556" i="3"/>
  <c r="O556" i="3" a="1"/>
  <c r="N556" i="3"/>
  <c r="M556" i="3"/>
  <c r="O555" i="3" a="1"/>
  <c r="O555" i="3" s="1"/>
  <c r="N555" i="3"/>
  <c r="M555" i="3"/>
  <c r="O554" i="3" a="1"/>
  <c r="O554" i="3" s="1"/>
  <c r="N554" i="3"/>
  <c r="M554" i="3"/>
  <c r="O553" i="3" a="1"/>
  <c r="O553" i="3" s="1"/>
  <c r="N553" i="3"/>
  <c r="M553" i="3"/>
  <c r="O552" i="3" a="1"/>
  <c r="O552" i="3" s="1"/>
  <c r="N552" i="3"/>
  <c r="M552" i="3"/>
  <c r="O551" i="3" a="1"/>
  <c r="O551" i="3" s="1"/>
  <c r="N551" i="3"/>
  <c r="M551" i="3"/>
  <c r="O550" i="3"/>
  <c r="O550" i="3" a="1"/>
  <c r="N550" i="3"/>
  <c r="M550" i="3"/>
  <c r="O549" i="3" a="1"/>
  <c r="O549" i="3" s="1"/>
  <c r="N549" i="3"/>
  <c r="M549" i="3"/>
  <c r="O548" i="3" a="1"/>
  <c r="O548" i="3" s="1"/>
  <c r="N548" i="3"/>
  <c r="M548" i="3"/>
  <c r="O547" i="3" a="1"/>
  <c r="O547" i="3" s="1"/>
  <c r="N547" i="3"/>
  <c r="M547" i="3"/>
  <c r="O546" i="3"/>
  <c r="O546" i="3" a="1"/>
  <c r="N546" i="3"/>
  <c r="M546" i="3"/>
  <c r="O545" i="3" a="1"/>
  <c r="O545" i="3" s="1"/>
  <c r="N545" i="3"/>
  <c r="M545" i="3"/>
  <c r="O544" i="3" a="1"/>
  <c r="O544" i="3" s="1"/>
  <c r="N544" i="3"/>
  <c r="M544" i="3"/>
  <c r="O543" i="3" a="1"/>
  <c r="O543" i="3" s="1"/>
  <c r="N543" i="3"/>
  <c r="M543" i="3"/>
  <c r="O542" i="3" a="1"/>
  <c r="O542" i="3" s="1"/>
  <c r="N542" i="3"/>
  <c r="M542" i="3"/>
  <c r="O541" i="3" a="1"/>
  <c r="O541" i="3" s="1"/>
  <c r="N541" i="3"/>
  <c r="M541" i="3"/>
  <c r="O540" i="3"/>
  <c r="O540" i="3" a="1"/>
  <c r="N540" i="3"/>
  <c r="M540" i="3"/>
  <c r="O539" i="3" a="1"/>
  <c r="O539" i="3" s="1"/>
  <c r="N539" i="3"/>
  <c r="M539" i="3"/>
  <c r="O538" i="3" a="1"/>
  <c r="O538" i="3" s="1"/>
  <c r="N538" i="3"/>
  <c r="M538" i="3"/>
  <c r="O537" i="3" a="1"/>
  <c r="O537" i="3" s="1"/>
  <c r="N537" i="3"/>
  <c r="M537" i="3"/>
  <c r="O536" i="3" a="1"/>
  <c r="O536" i="3" s="1"/>
  <c r="N536" i="3"/>
  <c r="M536" i="3"/>
  <c r="O535" i="3" a="1"/>
  <c r="O535" i="3" s="1"/>
  <c r="N535" i="3"/>
  <c r="M535" i="3"/>
  <c r="O534" i="3"/>
  <c r="O534" i="3" a="1"/>
  <c r="N534" i="3"/>
  <c r="M534" i="3"/>
  <c r="O533" i="3" a="1"/>
  <c r="O533" i="3" s="1"/>
  <c r="N533" i="3"/>
  <c r="M533" i="3"/>
  <c r="O532" i="3" a="1"/>
  <c r="O532" i="3" s="1"/>
  <c r="N532" i="3"/>
  <c r="M532" i="3"/>
  <c r="O531" i="3" a="1"/>
  <c r="O531" i="3" s="1"/>
  <c r="N531" i="3"/>
  <c r="M531" i="3"/>
  <c r="O530" i="3"/>
  <c r="O530" i="3" a="1"/>
  <c r="N530" i="3"/>
  <c r="M530" i="3"/>
  <c r="O529" i="3" a="1"/>
  <c r="O529" i="3" s="1"/>
  <c r="N529" i="3"/>
  <c r="M529" i="3"/>
  <c r="O528" i="3" a="1"/>
  <c r="O528" i="3" s="1"/>
  <c r="N528" i="3"/>
  <c r="M528" i="3"/>
  <c r="O527" i="3" a="1"/>
  <c r="O527" i="3" s="1"/>
  <c r="N527" i="3"/>
  <c r="M527" i="3"/>
  <c r="O526" i="3" a="1"/>
  <c r="O526" i="3" s="1"/>
  <c r="N526" i="3"/>
  <c r="M526" i="3"/>
  <c r="O525" i="3" a="1"/>
  <c r="O525" i="3" s="1"/>
  <c r="N525" i="3"/>
  <c r="M525" i="3"/>
  <c r="O524" i="3"/>
  <c r="O524" i="3" a="1"/>
  <c r="N524" i="3"/>
  <c r="M524" i="3"/>
  <c r="O523" i="3" a="1"/>
  <c r="O523" i="3" s="1"/>
  <c r="N523" i="3"/>
  <c r="M523" i="3"/>
  <c r="O522" i="3" a="1"/>
  <c r="O522" i="3" s="1"/>
  <c r="N522" i="3"/>
  <c r="M522" i="3"/>
  <c r="O521" i="3" a="1"/>
  <c r="O521" i="3" s="1"/>
  <c r="N521" i="3"/>
  <c r="M521" i="3"/>
  <c r="O520" i="3" a="1"/>
  <c r="O520" i="3" s="1"/>
  <c r="N520" i="3"/>
  <c r="M520" i="3"/>
  <c r="O519" i="3" a="1"/>
  <c r="O519" i="3" s="1"/>
  <c r="N519" i="3"/>
  <c r="M519" i="3"/>
  <c r="O518" i="3"/>
  <c r="O518" i="3" a="1"/>
  <c r="N518" i="3"/>
  <c r="M518" i="3"/>
  <c r="O517" i="3" a="1"/>
  <c r="O517" i="3" s="1"/>
  <c r="N517" i="3"/>
  <c r="M517" i="3"/>
  <c r="O516" i="3" a="1"/>
  <c r="O516" i="3" s="1"/>
  <c r="N516" i="3"/>
  <c r="M516" i="3"/>
  <c r="O515" i="3" a="1"/>
  <c r="O515" i="3" s="1"/>
  <c r="N515" i="3"/>
  <c r="M515" i="3"/>
  <c r="O514" i="3"/>
  <c r="O514" i="3" a="1"/>
  <c r="N514" i="3"/>
  <c r="M514" i="3"/>
  <c r="O513" i="3" a="1"/>
  <c r="O513" i="3" s="1"/>
  <c r="N513" i="3"/>
  <c r="M513" i="3"/>
  <c r="O512" i="3" a="1"/>
  <c r="O512" i="3" s="1"/>
  <c r="N512" i="3"/>
  <c r="M512" i="3"/>
  <c r="O511" i="3" a="1"/>
  <c r="O511" i="3" s="1"/>
  <c r="N511" i="3"/>
  <c r="M511" i="3"/>
  <c r="O510" i="3" a="1"/>
  <c r="O510" i="3" s="1"/>
  <c r="N510" i="3"/>
  <c r="M510" i="3"/>
  <c r="O509" i="3" a="1"/>
  <c r="O509" i="3" s="1"/>
  <c r="N509" i="3"/>
  <c r="M509" i="3"/>
  <c r="O508" i="3"/>
  <c r="O508" i="3" a="1"/>
  <c r="N508" i="3"/>
  <c r="M508" i="3"/>
  <c r="O507" i="3" a="1"/>
  <c r="O507" i="3" s="1"/>
  <c r="N507" i="3"/>
  <c r="M507" i="3"/>
  <c r="O506" i="3" a="1"/>
  <c r="O506" i="3" s="1"/>
  <c r="N506" i="3"/>
  <c r="M506" i="3"/>
  <c r="O505" i="3" a="1"/>
  <c r="O505" i="3" s="1"/>
  <c r="N505" i="3"/>
  <c r="M505" i="3"/>
  <c r="O504" i="3" a="1"/>
  <c r="O504" i="3" s="1"/>
  <c r="N504" i="3"/>
  <c r="M504" i="3"/>
  <c r="O503" i="3" a="1"/>
  <c r="O503" i="3" s="1"/>
  <c r="N503" i="3"/>
  <c r="M503" i="3"/>
  <c r="O502" i="3"/>
  <c r="O502" i="3" a="1"/>
  <c r="N502" i="3"/>
  <c r="M502" i="3"/>
  <c r="O501" i="3" a="1"/>
  <c r="O501" i="3" s="1"/>
  <c r="N501" i="3"/>
  <c r="M501" i="3"/>
  <c r="O500" i="3" a="1"/>
  <c r="O500" i="3" s="1"/>
  <c r="N500" i="3"/>
  <c r="M500" i="3"/>
  <c r="O499" i="3" a="1"/>
  <c r="O499" i="3" s="1"/>
  <c r="N499" i="3"/>
  <c r="M499" i="3"/>
  <c r="O498" i="3"/>
  <c r="O498" i="3" a="1"/>
  <c r="N498" i="3"/>
  <c r="M498" i="3"/>
  <c r="O497" i="3" a="1"/>
  <c r="O497" i="3" s="1"/>
  <c r="N497" i="3"/>
  <c r="M497" i="3"/>
  <c r="O496" i="3" a="1"/>
  <c r="O496" i="3" s="1"/>
  <c r="N496" i="3"/>
  <c r="M496" i="3"/>
  <c r="O495" i="3" a="1"/>
  <c r="O495" i="3" s="1"/>
  <c r="N495" i="3"/>
  <c r="M495" i="3"/>
  <c r="O494" i="3" a="1"/>
  <c r="O494" i="3" s="1"/>
  <c r="N494" i="3"/>
  <c r="M494" i="3"/>
  <c r="O493" i="3" a="1"/>
  <c r="O493" i="3" s="1"/>
  <c r="N493" i="3"/>
  <c r="M493" i="3"/>
  <c r="O492" i="3"/>
  <c r="O492" i="3" a="1"/>
  <c r="N492" i="3"/>
  <c r="M492" i="3"/>
  <c r="O491" i="3" a="1"/>
  <c r="O491" i="3" s="1"/>
  <c r="N491" i="3"/>
  <c r="M491" i="3"/>
  <c r="O490" i="3" a="1"/>
  <c r="O490" i="3" s="1"/>
  <c r="N490" i="3"/>
  <c r="M490" i="3"/>
  <c r="O489" i="3" a="1"/>
  <c r="O489" i="3" s="1"/>
  <c r="N489" i="3"/>
  <c r="M489" i="3"/>
  <c r="O488" i="3" a="1"/>
  <c r="O488" i="3" s="1"/>
  <c r="N488" i="3"/>
  <c r="M488" i="3"/>
  <c r="O487" i="3" a="1"/>
  <c r="O487" i="3" s="1"/>
  <c r="N487" i="3"/>
  <c r="M487" i="3"/>
  <c r="O486" i="3"/>
  <c r="O486" i="3" a="1"/>
  <c r="N486" i="3"/>
  <c r="M486" i="3"/>
  <c r="O485" i="3" a="1"/>
  <c r="O485" i="3" s="1"/>
  <c r="N485" i="3"/>
  <c r="M485" i="3"/>
  <c r="O484" i="3" a="1"/>
  <c r="O484" i="3" s="1"/>
  <c r="N484" i="3"/>
  <c r="M484" i="3"/>
  <c r="O483" i="3" a="1"/>
  <c r="O483" i="3" s="1"/>
  <c r="N483" i="3"/>
  <c r="M483" i="3"/>
  <c r="O482" i="3"/>
  <c r="O482" i="3" a="1"/>
  <c r="N482" i="3"/>
  <c r="M482" i="3"/>
  <c r="O481" i="3" a="1"/>
  <c r="O481" i="3" s="1"/>
  <c r="N481" i="3"/>
  <c r="M481" i="3"/>
  <c r="O480" i="3" a="1"/>
  <c r="O480" i="3" s="1"/>
  <c r="N480" i="3"/>
  <c r="M480" i="3"/>
  <c r="O479" i="3" a="1"/>
  <c r="O479" i="3" s="1"/>
  <c r="N479" i="3"/>
  <c r="M479" i="3"/>
  <c r="O478" i="3" a="1"/>
  <c r="O478" i="3" s="1"/>
  <c r="N478" i="3"/>
  <c r="M478" i="3"/>
  <c r="O477" i="3" a="1"/>
  <c r="O477" i="3" s="1"/>
  <c r="N477" i="3"/>
  <c r="M477" i="3"/>
  <c r="O476" i="3"/>
  <c r="O476" i="3" a="1"/>
  <c r="N476" i="3"/>
  <c r="M476" i="3"/>
  <c r="O475" i="3" a="1"/>
  <c r="O475" i="3" s="1"/>
  <c r="N475" i="3"/>
  <c r="M475" i="3"/>
  <c r="O474" i="3" a="1"/>
  <c r="O474" i="3" s="1"/>
  <c r="N474" i="3"/>
  <c r="M474" i="3"/>
  <c r="O473" i="3" a="1"/>
  <c r="O473" i="3" s="1"/>
  <c r="N473" i="3"/>
  <c r="M473" i="3"/>
  <c r="O472" i="3" a="1"/>
  <c r="O472" i="3" s="1"/>
  <c r="N472" i="3"/>
  <c r="M472" i="3"/>
  <c r="O471" i="3" a="1"/>
  <c r="O471" i="3" s="1"/>
  <c r="N471" i="3"/>
  <c r="M471" i="3"/>
  <c r="O470" i="3"/>
  <c r="O470" i="3" a="1"/>
  <c r="N470" i="3"/>
  <c r="M470" i="3"/>
  <c r="O469" i="3" a="1"/>
  <c r="O469" i="3" s="1"/>
  <c r="N469" i="3"/>
  <c r="M469" i="3"/>
  <c r="O468" i="3" a="1"/>
  <c r="O468" i="3" s="1"/>
  <c r="N468" i="3"/>
  <c r="M468" i="3"/>
  <c r="O467" i="3" a="1"/>
  <c r="O467" i="3" s="1"/>
  <c r="N467" i="3"/>
  <c r="M467" i="3"/>
  <c r="O466" i="3"/>
  <c r="O466" i="3" a="1"/>
  <c r="N466" i="3"/>
  <c r="M466" i="3"/>
  <c r="O465" i="3" a="1"/>
  <c r="O465" i="3" s="1"/>
  <c r="N465" i="3"/>
  <c r="M465" i="3"/>
  <c r="O464" i="3" a="1"/>
  <c r="O464" i="3" s="1"/>
  <c r="N464" i="3"/>
  <c r="M464" i="3"/>
  <c r="O463" i="3" a="1"/>
  <c r="O463" i="3" s="1"/>
  <c r="N463" i="3"/>
  <c r="M463" i="3"/>
  <c r="O462" i="3" a="1"/>
  <c r="O462" i="3" s="1"/>
  <c r="N462" i="3"/>
  <c r="M462" i="3"/>
  <c r="O461" i="3" a="1"/>
  <c r="O461" i="3" s="1"/>
  <c r="N461" i="3"/>
  <c r="M461" i="3"/>
  <c r="O460" i="3"/>
  <c r="O460" i="3" a="1"/>
  <c r="N460" i="3"/>
  <c r="M460" i="3"/>
  <c r="O459" i="3" a="1"/>
  <c r="O459" i="3" s="1"/>
  <c r="N459" i="3"/>
  <c r="M459" i="3"/>
  <c r="O458" i="3" a="1"/>
  <c r="O458" i="3" s="1"/>
  <c r="N458" i="3"/>
  <c r="M458" i="3"/>
  <c r="O457" i="3" a="1"/>
  <c r="O457" i="3" s="1"/>
  <c r="N457" i="3"/>
  <c r="M457" i="3"/>
  <c r="O456" i="3" a="1"/>
  <c r="O456" i="3" s="1"/>
  <c r="N456" i="3"/>
  <c r="M456" i="3"/>
  <c r="O455" i="3" a="1"/>
  <c r="O455" i="3" s="1"/>
  <c r="N455" i="3"/>
  <c r="M455" i="3"/>
  <c r="O454" i="3"/>
  <c r="O454" i="3" a="1"/>
  <c r="N454" i="3"/>
  <c r="M454" i="3"/>
  <c r="O453" i="3" a="1"/>
  <c r="O453" i="3" s="1"/>
  <c r="N453" i="3"/>
  <c r="M453" i="3"/>
  <c r="O452" i="3" a="1"/>
  <c r="O452" i="3" s="1"/>
  <c r="N452" i="3"/>
  <c r="M452" i="3"/>
  <c r="O451" i="3" a="1"/>
  <c r="O451" i="3" s="1"/>
  <c r="N451" i="3"/>
  <c r="M451" i="3"/>
  <c r="O450" i="3"/>
  <c r="O450" i="3" a="1"/>
  <c r="N450" i="3"/>
  <c r="M450" i="3"/>
  <c r="O449" i="3" a="1"/>
  <c r="O449" i="3" s="1"/>
  <c r="N449" i="3"/>
  <c r="M449" i="3"/>
  <c r="O448" i="3" a="1"/>
  <c r="O448" i="3" s="1"/>
  <c r="N448" i="3"/>
  <c r="M448" i="3"/>
  <c r="O447" i="3" a="1"/>
  <c r="O447" i="3" s="1"/>
  <c r="N447" i="3"/>
  <c r="M447" i="3"/>
  <c r="O446" i="3" a="1"/>
  <c r="O446" i="3" s="1"/>
  <c r="N446" i="3"/>
  <c r="M446" i="3"/>
  <c r="O445" i="3" a="1"/>
  <c r="O445" i="3" s="1"/>
  <c r="N445" i="3"/>
  <c r="M445" i="3"/>
  <c r="O444" i="3"/>
  <c r="O444" i="3" a="1"/>
  <c r="N444" i="3"/>
  <c r="M444" i="3"/>
  <c r="O443" i="3" a="1"/>
  <c r="O443" i="3" s="1"/>
  <c r="N443" i="3"/>
  <c r="M443" i="3"/>
  <c r="O442" i="3" a="1"/>
  <c r="O442" i="3" s="1"/>
  <c r="N442" i="3"/>
  <c r="M442" i="3"/>
  <c r="O441" i="3" a="1"/>
  <c r="O441" i="3" s="1"/>
  <c r="N441" i="3"/>
  <c r="M441" i="3"/>
  <c r="O440" i="3" a="1"/>
  <c r="O440" i="3" s="1"/>
  <c r="N440" i="3"/>
  <c r="M440" i="3"/>
  <c r="O439" i="3" a="1"/>
  <c r="O439" i="3" s="1"/>
  <c r="N439" i="3"/>
  <c r="M439" i="3"/>
  <c r="O438" i="3"/>
  <c r="O438" i="3" a="1"/>
  <c r="N438" i="3"/>
  <c r="M438" i="3"/>
  <c r="O437" i="3" a="1"/>
  <c r="O437" i="3" s="1"/>
  <c r="N437" i="3"/>
  <c r="M437" i="3"/>
  <c r="O436" i="3" a="1"/>
  <c r="O436" i="3" s="1"/>
  <c r="N436" i="3"/>
  <c r="M436" i="3"/>
  <c r="O435" i="3" a="1"/>
  <c r="O435" i="3" s="1"/>
  <c r="N435" i="3"/>
  <c r="M435" i="3"/>
  <c r="O434" i="3"/>
  <c r="O434" i="3" a="1"/>
  <c r="N434" i="3"/>
  <c r="M434" i="3"/>
  <c r="O433" i="3" a="1"/>
  <c r="O433" i="3" s="1"/>
  <c r="N433" i="3"/>
  <c r="M433" i="3"/>
  <c r="O432" i="3" a="1"/>
  <c r="O432" i="3" s="1"/>
  <c r="N432" i="3"/>
  <c r="M432" i="3"/>
  <c r="O431" i="3" a="1"/>
  <c r="O431" i="3" s="1"/>
  <c r="N431" i="3"/>
  <c r="M431" i="3"/>
  <c r="O430" i="3" a="1"/>
  <c r="O430" i="3" s="1"/>
  <c r="N430" i="3"/>
  <c r="M430" i="3"/>
  <c r="O429" i="3" a="1"/>
  <c r="O429" i="3" s="1"/>
  <c r="N429" i="3"/>
  <c r="M429" i="3"/>
  <c r="O428" i="3"/>
  <c r="O428" i="3" a="1"/>
  <c r="N428" i="3"/>
  <c r="M428" i="3"/>
  <c r="O427" i="3" a="1"/>
  <c r="O427" i="3" s="1"/>
  <c r="N427" i="3"/>
  <c r="M427" i="3"/>
  <c r="O426" i="3" a="1"/>
  <c r="O426" i="3" s="1"/>
  <c r="N426" i="3"/>
  <c r="M426" i="3"/>
  <c r="O425" i="3" a="1"/>
  <c r="O425" i="3" s="1"/>
  <c r="N425" i="3"/>
  <c r="M425" i="3"/>
  <c r="O424" i="3" a="1"/>
  <c r="O424" i="3" s="1"/>
  <c r="N424" i="3"/>
  <c r="M424" i="3"/>
  <c r="O423" i="3" a="1"/>
  <c r="O423" i="3" s="1"/>
  <c r="N423" i="3"/>
  <c r="M423" i="3"/>
  <c r="O422" i="3"/>
  <c r="O422" i="3" a="1"/>
  <c r="N422" i="3"/>
  <c r="M422" i="3"/>
  <c r="O421" i="3" a="1"/>
  <c r="O421" i="3" s="1"/>
  <c r="N421" i="3"/>
  <c r="M421" i="3"/>
  <c r="O420" i="3" a="1"/>
  <c r="O420" i="3" s="1"/>
  <c r="N420" i="3"/>
  <c r="M420" i="3"/>
  <c r="O419" i="3" a="1"/>
  <c r="O419" i="3" s="1"/>
  <c r="N419" i="3"/>
  <c r="M419" i="3"/>
  <c r="O418" i="3"/>
  <c r="O418" i="3" a="1"/>
  <c r="N418" i="3"/>
  <c r="M418" i="3"/>
  <c r="O417" i="3" a="1"/>
  <c r="O417" i="3" s="1"/>
  <c r="N417" i="3"/>
  <c r="M417" i="3"/>
  <c r="O416" i="3" a="1"/>
  <c r="O416" i="3" s="1"/>
  <c r="N416" i="3"/>
  <c r="M416" i="3"/>
  <c r="O415" i="3" a="1"/>
  <c r="O415" i="3" s="1"/>
  <c r="N415" i="3"/>
  <c r="M415" i="3"/>
  <c r="O414" i="3" a="1"/>
  <c r="O414" i="3" s="1"/>
  <c r="N414" i="3"/>
  <c r="M414" i="3"/>
  <c r="O413" i="3" a="1"/>
  <c r="O413" i="3" s="1"/>
  <c r="N413" i="3"/>
  <c r="M413" i="3"/>
  <c r="O412" i="3"/>
  <c r="O412" i="3" a="1"/>
  <c r="N412" i="3"/>
  <c r="M412" i="3"/>
  <c r="O411" i="3" a="1"/>
  <c r="O411" i="3" s="1"/>
  <c r="N411" i="3"/>
  <c r="M411" i="3"/>
  <c r="O410" i="3" a="1"/>
  <c r="O410" i="3" s="1"/>
  <c r="N410" i="3"/>
  <c r="M410" i="3"/>
  <c r="O409" i="3" a="1"/>
  <c r="O409" i="3" s="1"/>
  <c r="N409" i="3"/>
  <c r="M409" i="3"/>
  <c r="O408" i="3" a="1"/>
  <c r="O408" i="3" s="1"/>
  <c r="N408" i="3"/>
  <c r="M408" i="3"/>
  <c r="O407" i="3" a="1"/>
  <c r="O407" i="3" s="1"/>
  <c r="N407" i="3"/>
  <c r="M407" i="3"/>
  <c r="O406" i="3"/>
  <c r="O406" i="3" a="1"/>
  <c r="N406" i="3"/>
  <c r="M406" i="3"/>
  <c r="O405" i="3" a="1"/>
  <c r="O405" i="3" s="1"/>
  <c r="N405" i="3"/>
  <c r="M405" i="3"/>
  <c r="O404" i="3" a="1"/>
  <c r="O404" i="3" s="1"/>
  <c r="N404" i="3"/>
  <c r="M404" i="3"/>
  <c r="O403" i="3" a="1"/>
  <c r="O403" i="3" s="1"/>
  <c r="N403" i="3"/>
  <c r="M403" i="3"/>
  <c r="O402" i="3"/>
  <c r="O402" i="3" a="1"/>
  <c r="N402" i="3"/>
  <c r="M402" i="3"/>
  <c r="O401" i="3" a="1"/>
  <c r="O401" i="3" s="1"/>
  <c r="N401" i="3"/>
  <c r="M401" i="3"/>
  <c r="O400" i="3" a="1"/>
  <c r="O400" i="3" s="1"/>
  <c r="N400" i="3"/>
  <c r="M400" i="3"/>
  <c r="O399" i="3" a="1"/>
  <c r="O399" i="3" s="1"/>
  <c r="N399" i="3"/>
  <c r="M399" i="3"/>
  <c r="O398" i="3" a="1"/>
  <c r="O398" i="3" s="1"/>
  <c r="N398" i="3"/>
  <c r="M398" i="3"/>
  <c r="O397" i="3" a="1"/>
  <c r="O397" i="3" s="1"/>
  <c r="N397" i="3"/>
  <c r="M397" i="3"/>
  <c r="O396" i="3"/>
  <c r="O396" i="3" a="1"/>
  <c r="N396" i="3"/>
  <c r="M396" i="3"/>
  <c r="O395" i="3" a="1"/>
  <c r="O395" i="3" s="1"/>
  <c r="N395" i="3"/>
  <c r="M395" i="3"/>
  <c r="O394" i="3" a="1"/>
  <c r="O394" i="3" s="1"/>
  <c r="N394" i="3"/>
  <c r="M394" i="3"/>
  <c r="O393" i="3" a="1"/>
  <c r="O393" i="3" s="1"/>
  <c r="N393" i="3"/>
  <c r="M393" i="3"/>
  <c r="O392" i="3" a="1"/>
  <c r="O392" i="3" s="1"/>
  <c r="N392" i="3"/>
  <c r="M392" i="3"/>
  <c r="O391" i="3" a="1"/>
  <c r="O391" i="3" s="1"/>
  <c r="N391" i="3"/>
  <c r="M391" i="3"/>
  <c r="O390" i="3"/>
  <c r="O390" i="3" a="1"/>
  <c r="N390" i="3"/>
  <c r="M390" i="3"/>
  <c r="O389" i="3" a="1"/>
  <c r="O389" i="3" s="1"/>
  <c r="N389" i="3"/>
  <c r="M389" i="3"/>
  <c r="O388" i="3" a="1"/>
  <c r="O388" i="3" s="1"/>
  <c r="N388" i="3"/>
  <c r="M388" i="3"/>
  <c r="O387" i="3" a="1"/>
  <c r="O387" i="3" s="1"/>
  <c r="N387" i="3"/>
  <c r="M387" i="3"/>
  <c r="O386" i="3"/>
  <c r="O386" i="3" a="1"/>
  <c r="N386" i="3"/>
  <c r="M386" i="3"/>
  <c r="O385" i="3" a="1"/>
  <c r="O385" i="3" s="1"/>
  <c r="N385" i="3"/>
  <c r="M385" i="3"/>
  <c r="O384" i="3" a="1"/>
  <c r="O384" i="3" s="1"/>
  <c r="N384" i="3"/>
  <c r="M384" i="3"/>
  <c r="O383" i="3" a="1"/>
  <c r="O383" i="3" s="1"/>
  <c r="N383" i="3"/>
  <c r="M383" i="3"/>
  <c r="O382" i="3" a="1"/>
  <c r="O382" i="3" s="1"/>
  <c r="N382" i="3"/>
  <c r="M382" i="3"/>
  <c r="O381" i="3" a="1"/>
  <c r="O381" i="3" s="1"/>
  <c r="N381" i="3"/>
  <c r="M381" i="3"/>
  <c r="O380" i="3"/>
  <c r="O380" i="3" a="1"/>
  <c r="N380" i="3"/>
  <c r="M380" i="3"/>
  <c r="O379" i="3" a="1"/>
  <c r="O379" i="3" s="1"/>
  <c r="N379" i="3"/>
  <c r="M379" i="3"/>
  <c r="O378" i="3" a="1"/>
  <c r="O378" i="3" s="1"/>
  <c r="N378" i="3"/>
  <c r="M378" i="3"/>
  <c r="O377" i="3" a="1"/>
  <c r="O377" i="3" s="1"/>
  <c r="N377" i="3"/>
  <c r="M377" i="3"/>
  <c r="O376" i="3" a="1"/>
  <c r="O376" i="3" s="1"/>
  <c r="N376" i="3"/>
  <c r="M376" i="3"/>
  <c r="O375" i="3" a="1"/>
  <c r="O375" i="3" s="1"/>
  <c r="N375" i="3"/>
  <c r="M375" i="3"/>
  <c r="O374" i="3"/>
  <c r="O374" i="3" a="1"/>
  <c r="N374" i="3"/>
  <c r="M374" i="3"/>
  <c r="O373" i="3" a="1"/>
  <c r="O373" i="3" s="1"/>
  <c r="N373" i="3"/>
  <c r="M373" i="3"/>
  <c r="O372" i="3" a="1"/>
  <c r="O372" i="3" s="1"/>
  <c r="N372" i="3"/>
  <c r="M372" i="3"/>
  <c r="O371" i="3" a="1"/>
  <c r="O371" i="3" s="1"/>
  <c r="N371" i="3"/>
  <c r="M371" i="3"/>
  <c r="O370" i="3"/>
  <c r="O370" i="3" a="1"/>
  <c r="N370" i="3"/>
  <c r="M370" i="3"/>
  <c r="O369" i="3" a="1"/>
  <c r="O369" i="3" s="1"/>
  <c r="N369" i="3"/>
  <c r="M369" i="3"/>
  <c r="O368" i="3" a="1"/>
  <c r="O368" i="3" s="1"/>
  <c r="N368" i="3"/>
  <c r="M368" i="3"/>
  <c r="O367" i="3" a="1"/>
  <c r="O367" i="3" s="1"/>
  <c r="N367" i="3"/>
  <c r="M367" i="3"/>
  <c r="O366" i="3" a="1"/>
  <c r="O366" i="3" s="1"/>
  <c r="N366" i="3"/>
  <c r="M366" i="3"/>
  <c r="O365" i="3" a="1"/>
  <c r="O365" i="3" s="1"/>
  <c r="N365" i="3"/>
  <c r="M365" i="3"/>
  <c r="O364" i="3"/>
  <c r="O364" i="3" a="1"/>
  <c r="N364" i="3"/>
  <c r="M364" i="3"/>
  <c r="O363" i="3" a="1"/>
  <c r="O363" i="3" s="1"/>
  <c r="N363" i="3"/>
  <c r="M363" i="3"/>
  <c r="O362" i="3" a="1"/>
  <c r="O362" i="3" s="1"/>
  <c r="N362" i="3"/>
  <c r="M362" i="3"/>
  <c r="O361" i="3" a="1"/>
  <c r="O361" i="3" s="1"/>
  <c r="N361" i="3"/>
  <c r="M361" i="3"/>
  <c r="O360" i="3" a="1"/>
  <c r="O360" i="3" s="1"/>
  <c r="N360" i="3"/>
  <c r="M360" i="3"/>
  <c r="O359" i="3" a="1"/>
  <c r="O359" i="3" s="1"/>
  <c r="N359" i="3"/>
  <c r="M359" i="3"/>
  <c r="O358" i="3"/>
  <c r="O358" i="3" a="1"/>
  <c r="N358" i="3"/>
  <c r="M358" i="3"/>
  <c r="O357" i="3" a="1"/>
  <c r="O357" i="3" s="1"/>
  <c r="N357" i="3"/>
  <c r="M357" i="3"/>
  <c r="O356" i="3" a="1"/>
  <c r="O356" i="3" s="1"/>
  <c r="N356" i="3"/>
  <c r="M356" i="3"/>
  <c r="O355" i="3" a="1"/>
  <c r="O355" i="3" s="1"/>
  <c r="N355" i="3"/>
  <c r="M355" i="3"/>
  <c r="O354" i="3"/>
  <c r="O354" i="3" a="1"/>
  <c r="N354" i="3"/>
  <c r="M354" i="3"/>
  <c r="O353" i="3" a="1"/>
  <c r="O353" i="3" s="1"/>
  <c r="N353" i="3"/>
  <c r="M353" i="3"/>
  <c r="O352" i="3" a="1"/>
  <c r="O352" i="3" s="1"/>
  <c r="N352" i="3"/>
  <c r="M352" i="3"/>
  <c r="O351" i="3" a="1"/>
  <c r="O351" i="3" s="1"/>
  <c r="N351" i="3"/>
  <c r="M351" i="3"/>
  <c r="O350" i="3" a="1"/>
  <c r="O350" i="3" s="1"/>
  <c r="N350" i="3"/>
  <c r="M350" i="3"/>
  <c r="O349" i="3" a="1"/>
  <c r="O349" i="3" s="1"/>
  <c r="N349" i="3"/>
  <c r="M349" i="3"/>
  <c r="O348" i="3"/>
  <c r="O348" i="3" a="1"/>
  <c r="N348" i="3"/>
  <c r="M348" i="3"/>
  <c r="O347" i="3" a="1"/>
  <c r="O347" i="3" s="1"/>
  <c r="N347" i="3"/>
  <c r="M347" i="3"/>
  <c r="O346" i="3" a="1"/>
  <c r="O346" i="3" s="1"/>
  <c r="N346" i="3"/>
  <c r="M346" i="3"/>
  <c r="O345" i="3" a="1"/>
  <c r="O345" i="3" s="1"/>
  <c r="N345" i="3"/>
  <c r="M345" i="3"/>
  <c r="O344" i="3" a="1"/>
  <c r="O344" i="3" s="1"/>
  <c r="N344" i="3"/>
  <c r="M344" i="3"/>
  <c r="O343" i="3" a="1"/>
  <c r="O343" i="3" s="1"/>
  <c r="N343" i="3"/>
  <c r="M343" i="3"/>
  <c r="O342" i="3"/>
  <c r="O342" i="3" a="1"/>
  <c r="N342" i="3"/>
  <c r="M342" i="3"/>
  <c r="O341" i="3" a="1"/>
  <c r="O341" i="3" s="1"/>
  <c r="N341" i="3"/>
  <c r="M341" i="3"/>
  <c r="O340" i="3" a="1"/>
  <c r="O340" i="3" s="1"/>
  <c r="N340" i="3"/>
  <c r="M340" i="3"/>
  <c r="O339" i="3" a="1"/>
  <c r="O339" i="3" s="1"/>
  <c r="N339" i="3"/>
  <c r="M339" i="3"/>
  <c r="O338" i="3"/>
  <c r="O338" i="3" a="1"/>
  <c r="N338" i="3"/>
  <c r="M338" i="3"/>
  <c r="O337" i="3" a="1"/>
  <c r="O337" i="3" s="1"/>
  <c r="N337" i="3"/>
  <c r="M337" i="3"/>
  <c r="O336" i="3" a="1"/>
  <c r="O336" i="3" s="1"/>
  <c r="N336" i="3"/>
  <c r="M336" i="3"/>
  <c r="O335" i="3" a="1"/>
  <c r="O335" i="3" s="1"/>
  <c r="N335" i="3"/>
  <c r="M335" i="3"/>
  <c r="O334" i="3" a="1"/>
  <c r="O334" i="3" s="1"/>
  <c r="N334" i="3"/>
  <c r="M334" i="3"/>
  <c r="O333" i="3" a="1"/>
  <c r="O333" i="3" s="1"/>
  <c r="N333" i="3"/>
  <c r="M333" i="3"/>
  <c r="O332" i="3"/>
  <c r="O332" i="3" a="1"/>
  <c r="N332" i="3"/>
  <c r="M332" i="3"/>
  <c r="O331" i="3" a="1"/>
  <c r="O331" i="3" s="1"/>
  <c r="N331" i="3"/>
  <c r="M331" i="3"/>
  <c r="O330" i="3" a="1"/>
  <c r="O330" i="3" s="1"/>
  <c r="N330" i="3"/>
  <c r="M330" i="3"/>
  <c r="O329" i="3" a="1"/>
  <c r="O329" i="3" s="1"/>
  <c r="N329" i="3"/>
  <c r="M329" i="3"/>
  <c r="O328" i="3" a="1"/>
  <c r="O328" i="3" s="1"/>
  <c r="N328" i="3"/>
  <c r="M328" i="3"/>
  <c r="O327" i="3" a="1"/>
  <c r="O327" i="3" s="1"/>
  <c r="N327" i="3"/>
  <c r="M327" i="3"/>
  <c r="O326" i="3"/>
  <c r="O326" i="3" a="1"/>
  <c r="N326" i="3"/>
  <c r="M326" i="3"/>
  <c r="O325" i="3" a="1"/>
  <c r="O325" i="3" s="1"/>
  <c r="N325" i="3"/>
  <c r="M325" i="3"/>
  <c r="O324" i="3" a="1"/>
  <c r="O324" i="3" s="1"/>
  <c r="N324" i="3"/>
  <c r="M324" i="3"/>
  <c r="O323" i="3" a="1"/>
  <c r="O323" i="3" s="1"/>
  <c r="N323" i="3"/>
  <c r="M323" i="3"/>
  <c r="O322" i="3"/>
  <c r="O322" i="3" a="1"/>
  <c r="N322" i="3"/>
  <c r="M322" i="3"/>
  <c r="O321" i="3" a="1"/>
  <c r="O321" i="3" s="1"/>
  <c r="N321" i="3"/>
  <c r="M321" i="3"/>
  <c r="O320" i="3" a="1"/>
  <c r="O320" i="3" s="1"/>
  <c r="N320" i="3"/>
  <c r="M320" i="3"/>
  <c r="O319" i="3" a="1"/>
  <c r="O319" i="3" s="1"/>
  <c r="N319" i="3"/>
  <c r="M319" i="3"/>
  <c r="O318" i="3" a="1"/>
  <c r="O318" i="3" s="1"/>
  <c r="N318" i="3"/>
  <c r="M318" i="3"/>
  <c r="O317" i="3" a="1"/>
  <c r="O317" i="3" s="1"/>
  <c r="N317" i="3"/>
  <c r="M317" i="3"/>
  <c r="O316" i="3"/>
  <c r="O316" i="3" a="1"/>
  <c r="N316" i="3"/>
  <c r="M316" i="3"/>
  <c r="O315" i="3" a="1"/>
  <c r="O315" i="3" s="1"/>
  <c r="N315" i="3"/>
  <c r="M315" i="3"/>
  <c r="O314" i="3" a="1"/>
  <c r="O314" i="3" s="1"/>
  <c r="N314" i="3"/>
  <c r="M314" i="3"/>
  <c r="O313" i="3" a="1"/>
  <c r="O313" i="3" s="1"/>
  <c r="N313" i="3"/>
  <c r="M313" i="3"/>
  <c r="O312" i="3" a="1"/>
  <c r="O312" i="3" s="1"/>
  <c r="N312" i="3"/>
  <c r="M312" i="3"/>
  <c r="O311" i="3" a="1"/>
  <c r="O311" i="3" s="1"/>
  <c r="N311" i="3"/>
  <c r="M311" i="3"/>
  <c r="O310" i="3"/>
  <c r="O310" i="3" a="1"/>
  <c r="N310" i="3"/>
  <c r="M310" i="3"/>
  <c r="O309" i="3" a="1"/>
  <c r="O309" i="3" s="1"/>
  <c r="N309" i="3"/>
  <c r="M309" i="3"/>
  <c r="O308" i="3" a="1"/>
  <c r="O308" i="3" s="1"/>
  <c r="N308" i="3"/>
  <c r="M308" i="3"/>
  <c r="O307" i="3" a="1"/>
  <c r="O307" i="3" s="1"/>
  <c r="N307" i="3"/>
  <c r="M307" i="3"/>
  <c r="O306" i="3"/>
  <c r="O306" i="3" a="1"/>
  <c r="N306" i="3"/>
  <c r="M306" i="3"/>
  <c r="O305" i="3" a="1"/>
  <c r="O305" i="3" s="1"/>
  <c r="N305" i="3"/>
  <c r="M305" i="3"/>
  <c r="O304" i="3" a="1"/>
  <c r="O304" i="3" s="1"/>
  <c r="N304" i="3"/>
  <c r="M304" i="3"/>
  <c r="O303" i="3" a="1"/>
  <c r="O303" i="3" s="1"/>
  <c r="N303" i="3"/>
  <c r="M303" i="3"/>
  <c r="O302" i="3" a="1"/>
  <c r="O302" i="3" s="1"/>
  <c r="N302" i="3"/>
  <c r="M302" i="3"/>
  <c r="O301" i="3" a="1"/>
  <c r="O301" i="3" s="1"/>
  <c r="N301" i="3"/>
  <c r="M301" i="3"/>
  <c r="O300" i="3"/>
  <c r="O300" i="3" a="1"/>
  <c r="N300" i="3"/>
  <c r="M300" i="3"/>
  <c r="O299" i="3" a="1"/>
  <c r="O299" i="3" s="1"/>
  <c r="N299" i="3"/>
  <c r="M299" i="3"/>
  <c r="O298" i="3" a="1"/>
  <c r="O298" i="3" s="1"/>
  <c r="N298" i="3"/>
  <c r="M298" i="3"/>
  <c r="O297" i="3" a="1"/>
  <c r="O297" i="3" s="1"/>
  <c r="N297" i="3"/>
  <c r="M297" i="3"/>
  <c r="O296" i="3" a="1"/>
  <c r="O296" i="3" s="1"/>
  <c r="N296" i="3"/>
  <c r="M296" i="3"/>
  <c r="O295" i="3" a="1"/>
  <c r="O295" i="3" s="1"/>
  <c r="N295" i="3"/>
  <c r="M295" i="3"/>
  <c r="O294" i="3"/>
  <c r="O294" i="3" a="1"/>
  <c r="N294" i="3"/>
  <c r="M294" i="3"/>
  <c r="O293" i="3" a="1"/>
  <c r="O293" i="3" s="1"/>
  <c r="N293" i="3"/>
  <c r="M293" i="3"/>
  <c r="O292" i="3" a="1"/>
  <c r="O292" i="3" s="1"/>
  <c r="N292" i="3"/>
  <c r="M292" i="3"/>
  <c r="O291" i="3" a="1"/>
  <c r="O291" i="3" s="1"/>
  <c r="N291" i="3"/>
  <c r="M291" i="3"/>
  <c r="O290" i="3"/>
  <c r="O290" i="3" a="1"/>
  <c r="N290" i="3"/>
  <c r="M290" i="3"/>
  <c r="O289" i="3" a="1"/>
  <c r="O289" i="3" s="1"/>
  <c r="N289" i="3"/>
  <c r="M289" i="3"/>
  <c r="O288" i="3" a="1"/>
  <c r="O288" i="3" s="1"/>
  <c r="N288" i="3"/>
  <c r="M288" i="3"/>
  <c r="O287" i="3" a="1"/>
  <c r="O287" i="3" s="1"/>
  <c r="N287" i="3"/>
  <c r="M287" i="3"/>
  <c r="O286" i="3" a="1"/>
  <c r="O286" i="3" s="1"/>
  <c r="N286" i="3"/>
  <c r="M286" i="3"/>
  <c r="O285" i="3" a="1"/>
  <c r="O285" i="3" s="1"/>
  <c r="N285" i="3"/>
  <c r="M285" i="3"/>
  <c r="O284" i="3"/>
  <c r="O284" i="3" a="1"/>
  <c r="N284" i="3"/>
  <c r="M284" i="3"/>
  <c r="O283" i="3" a="1"/>
  <c r="O283" i="3" s="1"/>
  <c r="N283" i="3"/>
  <c r="M283" i="3"/>
  <c r="O282" i="3" a="1"/>
  <c r="O282" i="3" s="1"/>
  <c r="N282" i="3"/>
  <c r="M282" i="3"/>
  <c r="O281" i="3" a="1"/>
  <c r="O281" i="3" s="1"/>
  <c r="N281" i="3"/>
  <c r="M281" i="3"/>
  <c r="O280" i="3" a="1"/>
  <c r="O280" i="3" s="1"/>
  <c r="N280" i="3"/>
  <c r="M280" i="3"/>
  <c r="O279" i="3" a="1"/>
  <c r="O279" i="3" s="1"/>
  <c r="N279" i="3"/>
  <c r="M279" i="3"/>
  <c r="O278" i="3"/>
  <c r="O278" i="3" a="1"/>
  <c r="N278" i="3"/>
  <c r="M278" i="3"/>
  <c r="O277" i="3" a="1"/>
  <c r="O277" i="3" s="1"/>
  <c r="N277" i="3"/>
  <c r="M277" i="3"/>
  <c r="O276" i="3" a="1"/>
  <c r="O276" i="3" s="1"/>
  <c r="N276" i="3"/>
  <c r="M276" i="3"/>
  <c r="O275" i="3" a="1"/>
  <c r="O275" i="3" s="1"/>
  <c r="N275" i="3"/>
  <c r="M275" i="3"/>
  <c r="O274" i="3"/>
  <c r="O274" i="3" a="1"/>
  <c r="N274" i="3"/>
  <c r="M274" i="3"/>
  <c r="O273" i="3" a="1"/>
  <c r="O273" i="3" s="1"/>
  <c r="N273" i="3"/>
  <c r="M273" i="3"/>
  <c r="O272" i="3" a="1"/>
  <c r="O272" i="3" s="1"/>
  <c r="N272" i="3"/>
  <c r="M272" i="3"/>
  <c r="O271" i="3" a="1"/>
  <c r="O271" i="3" s="1"/>
  <c r="N271" i="3"/>
  <c r="M271" i="3"/>
  <c r="O270" i="3" a="1"/>
  <c r="O270" i="3" s="1"/>
  <c r="N270" i="3"/>
  <c r="M270" i="3"/>
  <c r="O269" i="3" a="1"/>
  <c r="O269" i="3" s="1"/>
  <c r="N269" i="3"/>
  <c r="M269" i="3"/>
  <c r="O268" i="3"/>
  <c r="O268" i="3" a="1"/>
  <c r="N268" i="3"/>
  <c r="M268" i="3"/>
  <c r="O267" i="3" a="1"/>
  <c r="O267" i="3" s="1"/>
  <c r="N267" i="3"/>
  <c r="M267" i="3"/>
  <c r="O266" i="3" a="1"/>
  <c r="O266" i="3" s="1"/>
  <c r="N266" i="3"/>
  <c r="M266" i="3"/>
  <c r="O265" i="3" a="1"/>
  <c r="O265" i="3" s="1"/>
  <c r="N265" i="3"/>
  <c r="M265" i="3"/>
  <c r="O264" i="3" a="1"/>
  <c r="O264" i="3" s="1"/>
  <c r="N264" i="3"/>
  <c r="M264" i="3"/>
  <c r="O263" i="3" a="1"/>
  <c r="O263" i="3" s="1"/>
  <c r="N263" i="3"/>
  <c r="M263" i="3"/>
  <c r="O262" i="3"/>
  <c r="O262" i="3" a="1"/>
  <c r="N262" i="3"/>
  <c r="M262" i="3"/>
  <c r="O261" i="3" a="1"/>
  <c r="O261" i="3" s="1"/>
  <c r="N261" i="3"/>
  <c r="M261" i="3"/>
  <c r="O260" i="3" a="1"/>
  <c r="O260" i="3" s="1"/>
  <c r="N260" i="3"/>
  <c r="M260" i="3"/>
  <c r="O259" i="3" a="1"/>
  <c r="O259" i="3" s="1"/>
  <c r="N259" i="3"/>
  <c r="M259" i="3"/>
  <c r="O258" i="3"/>
  <c r="O258" i="3" a="1"/>
  <c r="N258" i="3"/>
  <c r="M258" i="3"/>
  <c r="O257" i="3" a="1"/>
  <c r="O257" i="3" s="1"/>
  <c r="N257" i="3"/>
  <c r="M257" i="3"/>
  <c r="O256" i="3" a="1"/>
  <c r="O256" i="3" s="1"/>
  <c r="N256" i="3"/>
  <c r="M256" i="3"/>
  <c r="O255" i="3" a="1"/>
  <c r="O255" i="3" s="1"/>
  <c r="N255" i="3"/>
  <c r="M255" i="3"/>
  <c r="O254" i="3" a="1"/>
  <c r="O254" i="3" s="1"/>
  <c r="N254" i="3"/>
  <c r="M254" i="3"/>
  <c r="O253" i="3" a="1"/>
  <c r="O253" i="3" s="1"/>
  <c r="N253" i="3"/>
  <c r="M253" i="3"/>
  <c r="O252" i="3"/>
  <c r="O252" i="3" a="1"/>
  <c r="N252" i="3"/>
  <c r="M252" i="3"/>
  <c r="O251" i="3" a="1"/>
  <c r="O251" i="3" s="1"/>
  <c r="N251" i="3"/>
  <c r="M251" i="3"/>
  <c r="O250" i="3" a="1"/>
  <c r="O250" i="3" s="1"/>
  <c r="N250" i="3"/>
  <c r="M250" i="3"/>
  <c r="O249" i="3" a="1"/>
  <c r="O249" i="3" s="1"/>
  <c r="N249" i="3"/>
  <c r="M249" i="3"/>
  <c r="O248" i="3" a="1"/>
  <c r="O248" i="3" s="1"/>
  <c r="N248" i="3"/>
  <c r="M248" i="3"/>
  <c r="O247" i="3" a="1"/>
  <c r="O247" i="3" s="1"/>
  <c r="N247" i="3"/>
  <c r="M247" i="3"/>
  <c r="O246" i="3"/>
  <c r="O246" i="3" a="1"/>
  <c r="N246" i="3"/>
  <c r="M246" i="3"/>
  <c r="O245" i="3" a="1"/>
  <c r="O245" i="3" s="1"/>
  <c r="N245" i="3"/>
  <c r="M245" i="3"/>
  <c r="O244" i="3" a="1"/>
  <c r="O244" i="3" s="1"/>
  <c r="N244" i="3"/>
  <c r="M244" i="3"/>
  <c r="O243" i="3" a="1"/>
  <c r="O243" i="3" s="1"/>
  <c r="N243" i="3"/>
  <c r="M243" i="3"/>
  <c r="O242" i="3"/>
  <c r="O242" i="3" a="1"/>
  <c r="N242" i="3"/>
  <c r="M242" i="3"/>
  <c r="O241" i="3" a="1"/>
  <c r="O241" i="3" s="1"/>
  <c r="N241" i="3"/>
  <c r="M241" i="3"/>
  <c r="O240" i="3" a="1"/>
  <c r="O240" i="3" s="1"/>
  <c r="N240" i="3"/>
  <c r="M240" i="3"/>
  <c r="O239" i="3" a="1"/>
  <c r="O239" i="3" s="1"/>
  <c r="N239" i="3"/>
  <c r="M239" i="3"/>
  <c r="O238" i="3" a="1"/>
  <c r="O238" i="3" s="1"/>
  <c r="N238" i="3"/>
  <c r="M238" i="3"/>
  <c r="O237" i="3" a="1"/>
  <c r="O237" i="3" s="1"/>
  <c r="N237" i="3"/>
  <c r="M237" i="3"/>
  <c r="O236" i="3"/>
  <c r="O236" i="3" a="1"/>
  <c r="N236" i="3"/>
  <c r="M236" i="3"/>
  <c r="O235" i="3" a="1"/>
  <c r="O235" i="3" s="1"/>
  <c r="N235" i="3"/>
  <c r="M235" i="3"/>
  <c r="O234" i="3" a="1"/>
  <c r="O234" i="3" s="1"/>
  <c r="N234" i="3"/>
  <c r="M234" i="3"/>
  <c r="O233" i="3" a="1"/>
  <c r="O233" i="3" s="1"/>
  <c r="N233" i="3"/>
  <c r="M233" i="3"/>
  <c r="O232" i="3" a="1"/>
  <c r="O232" i="3" s="1"/>
  <c r="N232" i="3"/>
  <c r="M232" i="3"/>
  <c r="O231" i="3" a="1"/>
  <c r="O231" i="3" s="1"/>
  <c r="N231" i="3"/>
  <c r="M231" i="3"/>
  <c r="O230" i="3"/>
  <c r="O230" i="3" a="1"/>
  <c r="N230" i="3"/>
  <c r="M230" i="3"/>
  <c r="O229" i="3" a="1"/>
  <c r="O229" i="3" s="1"/>
  <c r="N229" i="3"/>
  <c r="M229" i="3"/>
  <c r="O228" i="3" a="1"/>
  <c r="O228" i="3" s="1"/>
  <c r="N228" i="3"/>
  <c r="M228" i="3"/>
  <c r="O227" i="3" a="1"/>
  <c r="O227" i="3" s="1"/>
  <c r="N227" i="3"/>
  <c r="M227" i="3"/>
  <c r="O226" i="3"/>
  <c r="O226" i="3" a="1"/>
  <c r="N226" i="3"/>
  <c r="M226" i="3"/>
  <c r="O225" i="3" a="1"/>
  <c r="O225" i="3" s="1"/>
  <c r="N225" i="3"/>
  <c r="M225" i="3"/>
  <c r="O224" i="3" a="1"/>
  <c r="O224" i="3" s="1"/>
  <c r="N224" i="3"/>
  <c r="M224" i="3"/>
  <c r="O223" i="3" a="1"/>
  <c r="O223" i="3" s="1"/>
  <c r="N223" i="3"/>
  <c r="M223" i="3"/>
  <c r="O222" i="3" a="1"/>
  <c r="O222" i="3" s="1"/>
  <c r="N222" i="3"/>
  <c r="M222" i="3"/>
  <c r="O221" i="3" a="1"/>
  <c r="O221" i="3" s="1"/>
  <c r="N221" i="3"/>
  <c r="M221" i="3"/>
  <c r="O220" i="3"/>
  <c r="O220" i="3" a="1"/>
  <c r="N220" i="3"/>
  <c r="M220" i="3"/>
  <c r="O219" i="3" a="1"/>
  <c r="O219" i="3" s="1"/>
  <c r="N219" i="3"/>
  <c r="M219" i="3"/>
  <c r="O218" i="3" a="1"/>
  <c r="O218" i="3" s="1"/>
  <c r="N218" i="3"/>
  <c r="M218" i="3"/>
  <c r="O217" i="3" a="1"/>
  <c r="O217" i="3" s="1"/>
  <c r="N217" i="3"/>
  <c r="M217" i="3"/>
  <c r="O216" i="3" a="1"/>
  <c r="O216" i="3" s="1"/>
  <c r="N216" i="3"/>
  <c r="M216" i="3"/>
  <c r="O215" i="3" a="1"/>
  <c r="O215" i="3" s="1"/>
  <c r="N215" i="3"/>
  <c r="M215" i="3"/>
  <c r="O214" i="3"/>
  <c r="O214" i="3" a="1"/>
  <c r="N214" i="3"/>
  <c r="M214" i="3"/>
  <c r="O213" i="3" a="1"/>
  <c r="O213" i="3" s="1"/>
  <c r="N213" i="3"/>
  <c r="M213" i="3"/>
  <c r="O212" i="3" a="1"/>
  <c r="O212" i="3" s="1"/>
  <c r="N212" i="3"/>
  <c r="M212" i="3"/>
  <c r="O211" i="3" a="1"/>
  <c r="O211" i="3" s="1"/>
  <c r="N211" i="3"/>
  <c r="M211" i="3"/>
  <c r="O210" i="3"/>
  <c r="O210" i="3" a="1"/>
  <c r="N210" i="3"/>
  <c r="M210" i="3"/>
  <c r="O209" i="3" a="1"/>
  <c r="O209" i="3" s="1"/>
  <c r="N209" i="3"/>
  <c r="M209" i="3"/>
  <c r="O208" i="3" a="1"/>
  <c r="O208" i="3" s="1"/>
  <c r="N208" i="3"/>
  <c r="M208" i="3"/>
  <c r="O207" i="3" a="1"/>
  <c r="O207" i="3" s="1"/>
  <c r="N207" i="3"/>
  <c r="M207" i="3"/>
  <c r="O206" i="3" a="1"/>
  <c r="O206" i="3" s="1"/>
  <c r="N206" i="3"/>
  <c r="M206" i="3"/>
  <c r="O205" i="3" a="1"/>
  <c r="O205" i="3" s="1"/>
  <c r="N205" i="3"/>
  <c r="M205" i="3"/>
  <c r="O204" i="3"/>
  <c r="O204" i="3" a="1"/>
  <c r="N204" i="3"/>
  <c r="M204" i="3"/>
  <c r="O203" i="3" a="1"/>
  <c r="O203" i="3" s="1"/>
  <c r="N203" i="3"/>
  <c r="M203" i="3"/>
  <c r="O202" i="3" a="1"/>
  <c r="O202" i="3" s="1"/>
  <c r="N202" i="3"/>
  <c r="M202" i="3"/>
  <c r="O201" i="3" a="1"/>
  <c r="O201" i="3" s="1"/>
  <c r="N201" i="3"/>
  <c r="M201" i="3"/>
  <c r="O200" i="3" a="1"/>
  <c r="O200" i="3" s="1"/>
  <c r="N200" i="3"/>
  <c r="M200" i="3"/>
  <c r="O199" i="3" a="1"/>
  <c r="O199" i="3" s="1"/>
  <c r="N199" i="3"/>
  <c r="M199" i="3"/>
  <c r="O198" i="3"/>
  <c r="O198" i="3" a="1"/>
  <c r="N198" i="3"/>
  <c r="M198" i="3"/>
  <c r="O197" i="3" a="1"/>
  <c r="O197" i="3" s="1"/>
  <c r="N197" i="3"/>
  <c r="M197" i="3"/>
  <c r="O196" i="3" a="1"/>
  <c r="O196" i="3" s="1"/>
  <c r="N196" i="3"/>
  <c r="M196" i="3"/>
  <c r="O195" i="3" a="1"/>
  <c r="O195" i="3" s="1"/>
  <c r="N195" i="3"/>
  <c r="M195" i="3"/>
  <c r="O194" i="3"/>
  <c r="O194" i="3" a="1"/>
  <c r="N194" i="3"/>
  <c r="M194" i="3"/>
  <c r="O193" i="3" a="1"/>
  <c r="O193" i="3" s="1"/>
  <c r="N193" i="3"/>
  <c r="M193" i="3"/>
  <c r="O192" i="3" a="1"/>
  <c r="O192" i="3" s="1"/>
  <c r="N192" i="3"/>
  <c r="M192" i="3"/>
  <c r="O191" i="3" a="1"/>
  <c r="O191" i="3" s="1"/>
  <c r="N191" i="3"/>
  <c r="M191" i="3"/>
  <c r="O190" i="3" a="1"/>
  <c r="O190" i="3" s="1"/>
  <c r="N190" i="3"/>
  <c r="M190" i="3"/>
  <c r="O189" i="3" a="1"/>
  <c r="O189" i="3" s="1"/>
  <c r="N189" i="3"/>
  <c r="M189" i="3"/>
  <c r="O188" i="3"/>
  <c r="O188" i="3" a="1"/>
  <c r="N188" i="3"/>
  <c r="M188" i="3"/>
  <c r="O187" i="3" a="1"/>
  <c r="O187" i="3" s="1"/>
  <c r="N187" i="3"/>
  <c r="M187" i="3"/>
  <c r="O186" i="3" a="1"/>
  <c r="O186" i="3" s="1"/>
  <c r="N186" i="3"/>
  <c r="M186" i="3"/>
  <c r="O185" i="3" a="1"/>
  <c r="O185" i="3" s="1"/>
  <c r="N185" i="3"/>
  <c r="M185" i="3"/>
  <c r="O184" i="3" a="1"/>
  <c r="O184" i="3" s="1"/>
  <c r="N184" i="3"/>
  <c r="M184" i="3"/>
  <c r="O183" i="3" a="1"/>
  <c r="O183" i="3" s="1"/>
  <c r="N183" i="3"/>
  <c r="M183" i="3"/>
  <c r="O182" i="3"/>
  <c r="O182" i="3" a="1"/>
  <c r="N182" i="3"/>
  <c r="M182" i="3"/>
  <c r="O181" i="3" a="1"/>
  <c r="O181" i="3" s="1"/>
  <c r="N181" i="3"/>
  <c r="M181" i="3"/>
  <c r="O180" i="3" a="1"/>
  <c r="O180" i="3" s="1"/>
  <c r="N180" i="3"/>
  <c r="M180" i="3"/>
  <c r="O179" i="3" a="1"/>
  <c r="O179" i="3" s="1"/>
  <c r="N179" i="3"/>
  <c r="M179" i="3"/>
  <c r="O178" i="3"/>
  <c r="O178" i="3" a="1"/>
  <c r="N178" i="3"/>
  <c r="M178" i="3"/>
  <c r="O177" i="3" a="1"/>
  <c r="O177" i="3" s="1"/>
  <c r="N177" i="3"/>
  <c r="M177" i="3"/>
  <c r="O176" i="3" a="1"/>
  <c r="O176" i="3" s="1"/>
  <c r="N176" i="3"/>
  <c r="M176" i="3"/>
  <c r="O175" i="3" a="1"/>
  <c r="O175" i="3" s="1"/>
  <c r="N175" i="3"/>
  <c r="M175" i="3"/>
  <c r="O174" i="3" a="1"/>
  <c r="O174" i="3" s="1"/>
  <c r="N174" i="3"/>
  <c r="M174" i="3"/>
  <c r="O173" i="3" a="1"/>
  <c r="O173" i="3" s="1"/>
  <c r="N173" i="3"/>
  <c r="M173" i="3"/>
  <c r="O172" i="3"/>
  <c r="O172" i="3" a="1"/>
  <c r="N172" i="3"/>
  <c r="M172" i="3"/>
  <c r="O171" i="3" a="1"/>
  <c r="O171" i="3" s="1"/>
  <c r="N171" i="3"/>
  <c r="M171" i="3"/>
  <c r="O170" i="3" a="1"/>
  <c r="O170" i="3" s="1"/>
  <c r="N170" i="3"/>
  <c r="M170" i="3"/>
  <c r="O169" i="3" a="1"/>
  <c r="O169" i="3" s="1"/>
  <c r="N169" i="3"/>
  <c r="M169" i="3"/>
  <c r="O168" i="3" a="1"/>
  <c r="O168" i="3" s="1"/>
  <c r="N168" i="3"/>
  <c r="M168" i="3"/>
  <c r="O167" i="3" a="1"/>
  <c r="O167" i="3" s="1"/>
  <c r="N167" i="3"/>
  <c r="M167" i="3"/>
  <c r="O166" i="3"/>
  <c r="O166" i="3" a="1"/>
  <c r="N166" i="3"/>
  <c r="M166" i="3"/>
  <c r="O165" i="3" a="1"/>
  <c r="O165" i="3" s="1"/>
  <c r="N165" i="3"/>
  <c r="M165" i="3"/>
  <c r="O164" i="3" a="1"/>
  <c r="O164" i="3" s="1"/>
  <c r="N164" i="3"/>
  <c r="M164" i="3"/>
  <c r="O163" i="3" a="1"/>
  <c r="O163" i="3" s="1"/>
  <c r="N163" i="3"/>
  <c r="M163" i="3"/>
  <c r="O162" i="3"/>
  <c r="O162" i="3" a="1"/>
  <c r="N162" i="3"/>
  <c r="M162" i="3"/>
  <c r="O161" i="3" a="1"/>
  <c r="O161" i="3" s="1"/>
  <c r="N161" i="3"/>
  <c r="M161" i="3"/>
  <c r="O160" i="3" a="1"/>
  <c r="O160" i="3" s="1"/>
  <c r="N160" i="3"/>
  <c r="M160" i="3"/>
  <c r="O159" i="3" a="1"/>
  <c r="O159" i="3" s="1"/>
  <c r="N159" i="3"/>
  <c r="M159" i="3"/>
  <c r="O158" i="3" a="1"/>
  <c r="O158" i="3" s="1"/>
  <c r="N158" i="3"/>
  <c r="M158" i="3"/>
  <c r="O157" i="3" a="1"/>
  <c r="O157" i="3" s="1"/>
  <c r="N157" i="3"/>
  <c r="M157" i="3"/>
  <c r="O156" i="3"/>
  <c r="O156" i="3" a="1"/>
  <c r="N156" i="3"/>
  <c r="M156" i="3"/>
  <c r="O155" i="3" a="1"/>
  <c r="O155" i="3" s="1"/>
  <c r="N155" i="3"/>
  <c r="M155" i="3"/>
  <c r="O154" i="3" a="1"/>
  <c r="O154" i="3" s="1"/>
  <c r="N154" i="3"/>
  <c r="M154" i="3"/>
  <c r="O153" i="3" a="1"/>
  <c r="O153" i="3" s="1"/>
  <c r="N153" i="3"/>
  <c r="M153" i="3"/>
  <c r="O152" i="3" a="1"/>
  <c r="O152" i="3" s="1"/>
  <c r="N152" i="3"/>
  <c r="M152" i="3"/>
  <c r="O151" i="3" a="1"/>
  <c r="O151" i="3" s="1"/>
  <c r="N151" i="3"/>
  <c r="M151" i="3"/>
  <c r="O150" i="3"/>
  <c r="O150" i="3" a="1"/>
  <c r="N150" i="3"/>
  <c r="M150" i="3"/>
  <c r="O149" i="3" a="1"/>
  <c r="O149" i="3" s="1"/>
  <c r="N149" i="3"/>
  <c r="M149" i="3"/>
  <c r="O148" i="3" a="1"/>
  <c r="O148" i="3" s="1"/>
  <c r="N148" i="3"/>
  <c r="M148" i="3"/>
  <c r="O147" i="3" a="1"/>
  <c r="O147" i="3" s="1"/>
  <c r="N147" i="3"/>
  <c r="M147" i="3"/>
  <c r="O146" i="3"/>
  <c r="O146" i="3" a="1"/>
  <c r="N146" i="3"/>
  <c r="M146" i="3"/>
  <c r="O145" i="3" a="1"/>
  <c r="O145" i="3" s="1"/>
  <c r="N145" i="3"/>
  <c r="M145" i="3"/>
  <c r="O144" i="3" a="1"/>
  <c r="O144" i="3" s="1"/>
  <c r="N144" i="3"/>
  <c r="M144" i="3"/>
  <c r="O143" i="3" a="1"/>
  <c r="O143" i="3" s="1"/>
  <c r="N143" i="3"/>
  <c r="M143" i="3"/>
  <c r="O142" i="3" a="1"/>
  <c r="O142" i="3" s="1"/>
  <c r="N142" i="3"/>
  <c r="M142" i="3"/>
  <c r="O141" i="3" a="1"/>
  <c r="O141" i="3" s="1"/>
  <c r="N141" i="3"/>
  <c r="M141" i="3"/>
  <c r="O140" i="3"/>
  <c r="O140" i="3" a="1"/>
  <c r="N140" i="3"/>
  <c r="M140" i="3"/>
  <c r="O139" i="3" a="1"/>
  <c r="O139" i="3" s="1"/>
  <c r="N139" i="3"/>
  <c r="M139" i="3"/>
  <c r="O138" i="3" a="1"/>
  <c r="O138" i="3" s="1"/>
  <c r="N138" i="3"/>
  <c r="M138" i="3"/>
  <c r="O137" i="3" a="1"/>
  <c r="O137" i="3" s="1"/>
  <c r="N137" i="3"/>
  <c r="M137" i="3"/>
  <c r="O136" i="3" a="1"/>
  <c r="O136" i="3" s="1"/>
  <c r="N136" i="3"/>
  <c r="M136" i="3"/>
  <c r="O135" i="3" a="1"/>
  <c r="O135" i="3" s="1"/>
  <c r="N135" i="3"/>
  <c r="M135" i="3"/>
  <c r="O134" i="3"/>
  <c r="O134" i="3" a="1"/>
  <c r="N134" i="3"/>
  <c r="M134" i="3"/>
  <c r="O133" i="3" a="1"/>
  <c r="O133" i="3" s="1"/>
  <c r="N133" i="3"/>
  <c r="M133" i="3"/>
  <c r="O132" i="3" a="1"/>
  <c r="O132" i="3" s="1"/>
  <c r="N132" i="3"/>
  <c r="M132" i="3"/>
  <c r="O131" i="3" a="1"/>
  <c r="O131" i="3" s="1"/>
  <c r="N131" i="3"/>
  <c r="M131" i="3"/>
  <c r="O130" i="3"/>
  <c r="O130" i="3" a="1"/>
  <c r="N130" i="3"/>
  <c r="M130" i="3"/>
  <c r="O129" i="3" a="1"/>
  <c r="O129" i="3" s="1"/>
  <c r="N129" i="3"/>
  <c r="M129" i="3"/>
  <c r="O128" i="3" a="1"/>
  <c r="O128" i="3" s="1"/>
  <c r="N128" i="3"/>
  <c r="M128" i="3"/>
  <c r="O127" i="3" a="1"/>
  <c r="O127" i="3" s="1"/>
  <c r="N127" i="3"/>
  <c r="M127" i="3"/>
  <c r="O126" i="3" a="1"/>
  <c r="O126" i="3" s="1"/>
  <c r="N126" i="3"/>
  <c r="M126" i="3"/>
  <c r="O125" i="3" a="1"/>
  <c r="O125" i="3" s="1"/>
  <c r="N125" i="3"/>
  <c r="M125" i="3"/>
  <c r="O124" i="3"/>
  <c r="O124" i="3" a="1"/>
  <c r="N124" i="3"/>
  <c r="M124" i="3"/>
  <c r="O123" i="3" a="1"/>
  <c r="O123" i="3" s="1"/>
  <c r="N123" i="3"/>
  <c r="M123" i="3"/>
  <c r="O122" i="3" a="1"/>
  <c r="O122" i="3" s="1"/>
  <c r="N122" i="3"/>
  <c r="M122" i="3"/>
  <c r="O121" i="3" a="1"/>
  <c r="O121" i="3" s="1"/>
  <c r="N121" i="3"/>
  <c r="M121" i="3"/>
  <c r="O120" i="3" a="1"/>
  <c r="O120" i="3" s="1"/>
  <c r="N120" i="3"/>
  <c r="M120" i="3"/>
  <c r="O119" i="3" a="1"/>
  <c r="O119" i="3" s="1"/>
  <c r="N119" i="3"/>
  <c r="M119" i="3"/>
  <c r="O118" i="3"/>
  <c r="O118" i="3" a="1"/>
  <c r="N118" i="3"/>
  <c r="M118" i="3"/>
  <c r="O117" i="3" a="1"/>
  <c r="O117" i="3" s="1"/>
  <c r="N117" i="3"/>
  <c r="M117" i="3"/>
  <c r="O116" i="3" a="1"/>
  <c r="O116" i="3" s="1"/>
  <c r="N116" i="3"/>
  <c r="M116" i="3"/>
  <c r="O115" i="3" a="1"/>
  <c r="O115" i="3" s="1"/>
  <c r="N115" i="3"/>
  <c r="M115" i="3"/>
  <c r="O114" i="3"/>
  <c r="O114" i="3" a="1"/>
  <c r="N114" i="3"/>
  <c r="M114" i="3"/>
  <c r="O113" i="3" a="1"/>
  <c r="O113" i="3" s="1"/>
  <c r="N113" i="3"/>
  <c r="M113" i="3"/>
  <c r="O112" i="3" a="1"/>
  <c r="O112" i="3" s="1"/>
  <c r="N112" i="3"/>
  <c r="M112" i="3"/>
  <c r="O111" i="3" a="1"/>
  <c r="O111" i="3" s="1"/>
  <c r="N111" i="3"/>
  <c r="M111" i="3"/>
  <c r="O110" i="3" a="1"/>
  <c r="O110" i="3" s="1"/>
  <c r="N110" i="3"/>
  <c r="M110" i="3"/>
  <c r="O109" i="3" a="1"/>
  <c r="O109" i="3" s="1"/>
  <c r="N109" i="3"/>
  <c r="M109" i="3"/>
  <c r="O108" i="3"/>
  <c r="O108" i="3" a="1"/>
  <c r="N108" i="3"/>
  <c r="M108" i="3"/>
  <c r="O107" i="3" a="1"/>
  <c r="O107" i="3" s="1"/>
  <c r="N107" i="3"/>
  <c r="M107" i="3"/>
  <c r="O106" i="3" a="1"/>
  <c r="O106" i="3" s="1"/>
  <c r="N106" i="3"/>
  <c r="M106" i="3"/>
  <c r="O105" i="3"/>
  <c r="O105" i="3" a="1"/>
  <c r="N105" i="3"/>
  <c r="M105" i="3"/>
  <c r="O104" i="3" a="1"/>
  <c r="O104" i="3" s="1"/>
  <c r="N104" i="3"/>
  <c r="M104" i="3"/>
  <c r="O103" i="3"/>
  <c r="O103" i="3" a="1"/>
  <c r="N103" i="3"/>
  <c r="M103" i="3"/>
  <c r="O102" i="3" a="1"/>
  <c r="O102" i="3" s="1"/>
  <c r="N102" i="3"/>
  <c r="M102" i="3"/>
  <c r="O101" i="3"/>
  <c r="O101" i="3" a="1"/>
  <c r="N101" i="3"/>
  <c r="M101" i="3"/>
  <c r="O100" i="3" a="1"/>
  <c r="O100" i="3" s="1"/>
  <c r="N100" i="3"/>
  <c r="M100" i="3"/>
  <c r="O99" i="3"/>
  <c r="O99" i="3" a="1"/>
  <c r="N99" i="3"/>
  <c r="M99" i="3"/>
  <c r="O98" i="3" a="1"/>
  <c r="O98" i="3" s="1"/>
  <c r="N98" i="3"/>
  <c r="M98" i="3"/>
  <c r="O97" i="3"/>
  <c r="O97" i="3" a="1"/>
  <c r="N97" i="3"/>
  <c r="M97" i="3"/>
  <c r="O96" i="3" a="1"/>
  <c r="O96" i="3" s="1"/>
  <c r="N96" i="3"/>
  <c r="M96" i="3"/>
  <c r="O95" i="3"/>
  <c r="O95" i="3" a="1"/>
  <c r="N95" i="3"/>
  <c r="M95" i="3"/>
  <c r="O94" i="3" a="1"/>
  <c r="O94" i="3" s="1"/>
  <c r="N94" i="3"/>
  <c r="M94" i="3"/>
  <c r="O93" i="3"/>
  <c r="O93" i="3" a="1"/>
  <c r="N93" i="3"/>
  <c r="M93" i="3"/>
  <c r="O92" i="3" a="1"/>
  <c r="O92" i="3" s="1"/>
  <c r="N92" i="3"/>
  <c r="M92" i="3"/>
  <c r="O91" i="3"/>
  <c r="O91" i="3" a="1"/>
  <c r="N91" i="3"/>
  <c r="M91" i="3"/>
  <c r="O90" i="3" a="1"/>
  <c r="O90" i="3" s="1"/>
  <c r="N90" i="3"/>
  <c r="M90" i="3"/>
  <c r="O89" i="3"/>
  <c r="O89" i="3" a="1"/>
  <c r="N89" i="3"/>
  <c r="M89" i="3"/>
  <c r="O88" i="3" a="1"/>
  <c r="O88" i="3" s="1"/>
  <c r="N88" i="3"/>
  <c r="M88" i="3"/>
  <c r="O87" i="3"/>
  <c r="O87" i="3" a="1"/>
  <c r="N87" i="3"/>
  <c r="M87" i="3"/>
  <c r="O86" i="3" a="1"/>
  <c r="O86" i="3" s="1"/>
  <c r="N86" i="3"/>
  <c r="M86" i="3"/>
  <c r="O85" i="3"/>
  <c r="O85" i="3" a="1"/>
  <c r="N85" i="3"/>
  <c r="M85" i="3"/>
  <c r="O84" i="3" a="1"/>
  <c r="O84" i="3" s="1"/>
  <c r="N84" i="3"/>
  <c r="M84" i="3"/>
  <c r="O83" i="3"/>
  <c r="O83" i="3" a="1"/>
  <c r="N83" i="3"/>
  <c r="M83" i="3"/>
  <c r="O82" i="3" a="1"/>
  <c r="O82" i="3" s="1"/>
  <c r="N82" i="3"/>
  <c r="M82" i="3"/>
  <c r="O81" i="3"/>
  <c r="O81" i="3" a="1"/>
  <c r="N81" i="3"/>
  <c r="M81" i="3"/>
  <c r="O80" i="3" a="1"/>
  <c r="O80" i="3" s="1"/>
  <c r="N80" i="3"/>
  <c r="M80" i="3"/>
  <c r="O79" i="3"/>
  <c r="O79" i="3" a="1"/>
  <c r="N79" i="3"/>
  <c r="M79" i="3"/>
  <c r="O78" i="3" a="1"/>
  <c r="O78" i="3" s="1"/>
  <c r="N78" i="3"/>
  <c r="M78" i="3"/>
  <c r="O77" i="3"/>
  <c r="O77" i="3" a="1"/>
  <c r="N77" i="3"/>
  <c r="M77" i="3"/>
  <c r="O76" i="3" a="1"/>
  <c r="O76" i="3" s="1"/>
  <c r="N76" i="3"/>
  <c r="M76" i="3"/>
  <c r="O75" i="3"/>
  <c r="O75" i="3" a="1"/>
  <c r="N75" i="3"/>
  <c r="M75" i="3"/>
  <c r="O74" i="3" a="1"/>
  <c r="O74" i="3" s="1"/>
  <c r="N74" i="3"/>
  <c r="M74" i="3"/>
  <c r="O73" i="3"/>
  <c r="O73" i="3" a="1"/>
  <c r="N73" i="3"/>
  <c r="M73" i="3"/>
  <c r="O72" i="3" a="1"/>
  <c r="O72" i="3" s="1"/>
  <c r="N72" i="3"/>
  <c r="M72" i="3"/>
  <c r="O71" i="3"/>
  <c r="O71" i="3" a="1"/>
  <c r="N71" i="3"/>
  <c r="M71" i="3"/>
  <c r="O70" i="3" a="1"/>
  <c r="O70" i="3" s="1"/>
  <c r="N70" i="3"/>
  <c r="M70" i="3"/>
  <c r="O69" i="3"/>
  <c r="O69" i="3" a="1"/>
  <c r="N69" i="3"/>
  <c r="M69" i="3"/>
  <c r="O68" i="3" a="1"/>
  <c r="O68" i="3" s="1"/>
  <c r="N68" i="3"/>
  <c r="M68" i="3"/>
  <c r="O67" i="3"/>
  <c r="O67" i="3" a="1"/>
  <c r="N67" i="3"/>
  <c r="M67" i="3"/>
  <c r="O66" i="3" a="1"/>
  <c r="O66" i="3" s="1"/>
  <c r="N66" i="3"/>
  <c r="M66" i="3"/>
  <c r="O65" i="3"/>
  <c r="O65" i="3" a="1"/>
  <c r="N65" i="3"/>
  <c r="M65" i="3"/>
  <c r="O64" i="3" a="1"/>
  <c r="O64" i="3" s="1"/>
  <c r="N64" i="3"/>
  <c r="M64" i="3"/>
  <c r="O63" i="3"/>
  <c r="O63" i="3" a="1"/>
  <c r="N63" i="3"/>
  <c r="M63" i="3"/>
  <c r="O62" i="3" a="1"/>
  <c r="O62" i="3" s="1"/>
  <c r="N62" i="3"/>
  <c r="M62" i="3"/>
  <c r="O61" i="3"/>
  <c r="O61" i="3" a="1"/>
  <c r="N61" i="3"/>
  <c r="M61" i="3"/>
  <c r="O60" i="3" a="1"/>
  <c r="O60" i="3" s="1"/>
  <c r="N60" i="3"/>
  <c r="M60" i="3"/>
  <c r="O59" i="3"/>
  <c r="O59" i="3" a="1"/>
  <c r="N59" i="3"/>
  <c r="M59" i="3"/>
  <c r="O58" i="3" a="1"/>
  <c r="O58" i="3" s="1"/>
  <c r="N58" i="3"/>
  <c r="M58" i="3"/>
  <c r="O57" i="3"/>
  <c r="O57" i="3" a="1"/>
  <c r="N57" i="3"/>
  <c r="M57" i="3"/>
  <c r="O56" i="3" a="1"/>
  <c r="O56" i="3" s="1"/>
  <c r="N56" i="3"/>
  <c r="M56" i="3"/>
  <c r="O55" i="3"/>
  <c r="O55" i="3" a="1"/>
  <c r="N55" i="3"/>
  <c r="M55" i="3"/>
  <c r="O54" i="3" a="1"/>
  <c r="O54" i="3" s="1"/>
  <c r="N54" i="3"/>
  <c r="M54" i="3"/>
  <c r="O53" i="3"/>
  <c r="O53" i="3" a="1"/>
  <c r="N53" i="3"/>
  <c r="M53" i="3"/>
  <c r="O52" i="3" a="1"/>
  <c r="O52" i="3" s="1"/>
  <c r="N52" i="3"/>
  <c r="M52" i="3"/>
  <c r="O51" i="3"/>
  <c r="O51" i="3" a="1"/>
  <c r="N51" i="3"/>
  <c r="M51" i="3"/>
  <c r="O50" i="3" a="1"/>
  <c r="O50" i="3" s="1"/>
  <c r="N50" i="3"/>
  <c r="M50" i="3"/>
  <c r="O49" i="3"/>
  <c r="O49" i="3" a="1"/>
  <c r="N49" i="3"/>
  <c r="M49" i="3"/>
  <c r="O48" i="3" a="1"/>
  <c r="O48" i="3" s="1"/>
  <c r="N48" i="3"/>
  <c r="M48" i="3"/>
  <c r="O47" i="3"/>
  <c r="O47" i="3" a="1"/>
  <c r="N47" i="3"/>
  <c r="M47" i="3"/>
  <c r="O46" i="3" a="1"/>
  <c r="O46" i="3" s="1"/>
  <c r="N46" i="3"/>
  <c r="M46" i="3"/>
  <c r="O45" i="3"/>
  <c r="O45" i="3" a="1"/>
  <c r="N45" i="3"/>
  <c r="M45" i="3"/>
  <c r="O44" i="3" a="1"/>
  <c r="O44" i="3" s="1"/>
  <c r="N44" i="3"/>
  <c r="M44" i="3"/>
  <c r="O43" i="3"/>
  <c r="O43" i="3" a="1"/>
  <c r="N43" i="3"/>
  <c r="M43" i="3"/>
  <c r="O42" i="3" a="1"/>
  <c r="O42" i="3" s="1"/>
  <c r="N42" i="3"/>
  <c r="M42" i="3"/>
  <c r="O41" i="3"/>
  <c r="O41" i="3" a="1"/>
  <c r="N41" i="3"/>
  <c r="M41" i="3"/>
  <c r="O40" i="3" a="1"/>
  <c r="O40" i="3" s="1"/>
  <c r="N40" i="3"/>
  <c r="M40" i="3"/>
  <c r="O39" i="3"/>
  <c r="O39" i="3" a="1"/>
  <c r="N39" i="3"/>
  <c r="M39" i="3"/>
  <c r="O38" i="3" a="1"/>
  <c r="O38" i="3" s="1"/>
  <c r="N38" i="3"/>
  <c r="M38" i="3"/>
  <c r="O37" i="3"/>
  <c r="O37" i="3" a="1"/>
  <c r="N37" i="3"/>
  <c r="M37" i="3"/>
  <c r="O36" i="3" a="1"/>
  <c r="O36" i="3" s="1"/>
  <c r="N36" i="3"/>
  <c r="M36" i="3"/>
  <c r="O35" i="3"/>
  <c r="O35" i="3" a="1"/>
  <c r="N35" i="3"/>
  <c r="M35" i="3"/>
  <c r="O34" i="3" a="1"/>
  <c r="O34" i="3" s="1"/>
  <c r="N34" i="3"/>
  <c r="M34" i="3"/>
  <c r="O33" i="3"/>
  <c r="O33" i="3" a="1"/>
  <c r="N33" i="3"/>
  <c r="M33" i="3"/>
  <c r="O32" i="3" a="1"/>
  <c r="O32" i="3" s="1"/>
  <c r="N32" i="3"/>
  <c r="M32" i="3"/>
  <c r="O31" i="3"/>
  <c r="O31" i="3" a="1"/>
  <c r="N31" i="3"/>
  <c r="M31" i="3"/>
  <c r="O30" i="3" a="1"/>
  <c r="O30" i="3" s="1"/>
  <c r="N30" i="3"/>
  <c r="M30" i="3"/>
  <c r="O29" i="3"/>
  <c r="O29" i="3" a="1"/>
  <c r="N29" i="3"/>
  <c r="M29" i="3"/>
  <c r="O28" i="3" a="1"/>
  <c r="O28" i="3" s="1"/>
  <c r="N28" i="3"/>
  <c r="M28" i="3"/>
  <c r="O27" i="3"/>
  <c r="O27" i="3" a="1"/>
  <c r="N27" i="3"/>
  <c r="M27" i="3"/>
  <c r="O26" i="3" a="1"/>
  <c r="O26" i="3" s="1"/>
  <c r="N26" i="3"/>
  <c r="M26" i="3"/>
  <c r="O25" i="3"/>
  <c r="O25" i="3" a="1"/>
  <c r="N25" i="3"/>
  <c r="M25" i="3"/>
  <c r="O24" i="3" a="1"/>
  <c r="O24" i="3" s="1"/>
  <c r="N24" i="3"/>
  <c r="M24" i="3"/>
  <c r="O23" i="3"/>
  <c r="O23" i="3" a="1"/>
  <c r="N23" i="3"/>
  <c r="M23" i="3"/>
  <c r="O22" i="3" a="1"/>
  <c r="O22" i="3" s="1"/>
  <c r="N22" i="3"/>
  <c r="M22" i="3"/>
  <c r="O21" i="3"/>
  <c r="O21" i="3" a="1"/>
  <c r="N21" i="3"/>
  <c r="M21" i="3"/>
  <c r="O20" i="3" a="1"/>
  <c r="O20" i="3" s="1"/>
  <c r="N20" i="3"/>
  <c r="M20" i="3"/>
  <c r="O19" i="3"/>
  <c r="O19" i="3" a="1"/>
  <c r="N19" i="3"/>
  <c r="M19" i="3"/>
  <c r="O18" i="3" a="1"/>
  <c r="O18" i="3" s="1"/>
  <c r="N18" i="3"/>
  <c r="M18" i="3"/>
  <c r="O17" i="3"/>
  <c r="O17" i="3" a="1"/>
  <c r="N17" i="3"/>
  <c r="M17" i="3"/>
  <c r="O16" i="3" a="1"/>
  <c r="O16" i="3" s="1"/>
  <c r="N16" i="3"/>
  <c r="M16" i="3"/>
  <c r="O15" i="3"/>
  <c r="O15" i="3" a="1"/>
  <c r="N15" i="3"/>
  <c r="M15" i="3"/>
  <c r="O14" i="3" a="1"/>
  <c r="O14" i="3" s="1"/>
  <c r="N14" i="3"/>
  <c r="M14" i="3"/>
  <c r="O13" i="3"/>
  <c r="O13" i="3" a="1"/>
  <c r="N13" i="3"/>
  <c r="M13" i="3"/>
  <c r="O12" i="3" a="1"/>
  <c r="O12" i="3" s="1"/>
  <c r="N12" i="3"/>
  <c r="M12" i="3"/>
  <c r="O11" i="3"/>
  <c r="O11" i="3" a="1"/>
  <c r="N11" i="3"/>
  <c r="M11" i="3"/>
  <c r="O10" i="3" a="1"/>
  <c r="O10" i="3" s="1"/>
  <c r="N10" i="3"/>
  <c r="M10" i="3"/>
  <c r="O9" i="3"/>
  <c r="O9" i="3" a="1"/>
  <c r="N9" i="3"/>
  <c r="M9" i="3"/>
  <c r="O8" i="3" a="1"/>
  <c r="O8" i="3" s="1"/>
  <c r="N8" i="3"/>
  <c r="M8" i="3"/>
  <c r="O7" i="3"/>
  <c r="O7" i="3" a="1"/>
  <c r="N7" i="3"/>
  <c r="M7" i="3"/>
  <c r="O6" i="3" a="1"/>
  <c r="O6" i="3" s="1"/>
  <c r="N6" i="3"/>
  <c r="M6" i="3"/>
  <c r="O5" i="3"/>
  <c r="O5" i="3" a="1"/>
  <c r="N5" i="3"/>
  <c r="M5" i="3"/>
  <c r="O4" i="3" a="1"/>
  <c r="O4" i="3" s="1"/>
  <c r="N4" i="3"/>
  <c r="M4" i="3"/>
  <c r="O3" i="3"/>
  <c r="O3" i="3" a="1"/>
  <c r="N3" i="3"/>
  <c r="M3" i="3"/>
  <c r="O2" i="3" a="1"/>
  <c r="O2" i="3" s="1"/>
  <c r="N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<sst xmlns="http://schemas.openxmlformats.org/spreadsheetml/2006/main" count="14589" uniqueCount="2537">
  <si>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</si>
  <si>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</si>
  <si>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</si>
  <si>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</si>
  <si>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</si>
  <si>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</si>
  <si>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</si>
  <si>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</si>
  <si>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</si>
  <si>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</si>
  <si>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</si>
  <si>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</si>
  <si>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</si>
  <si>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</si>
  <si>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</si>
  <si>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</si>
  <si>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</si>
  <si>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</si>
  <si>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</si>
  <si>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</si>
  <si>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</si>
  <si>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</si>
  <si>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</si>
  <si>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</si>
  <si>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</si>
  <si>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</si>
  <si>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</si>
  <si>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</si>
  <si>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</si>
  <si>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</si>
  <si>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</si>
  <si>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</si>
  <si>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</si>
  <si>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</si>
  <si>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</si>
  <si>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</si>
  <si>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</si>
  <si>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</si>
  <si>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</si>
  <si>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</si>
  <si>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</si>
  <si>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</si>
  <si>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</si>
  <si>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</si>
  <si>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</si>
  <si>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</si>
  <si>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</si>
  <si>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</si>
  <si>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</si>
  <si>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</si>
  <si>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</si>
  <si>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</si>
  <si>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</si>
  <si>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</si>
  <si>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</si>
  <si>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</si>
  <si>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</si>
  <si>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</si>
  <si>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</si>
  <si>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</si>
  <si>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</si>
  <si>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</si>
  <si>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</si>
  <si>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</si>
  <si>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</si>
  <si>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</si>
  <si>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</si>
  <si>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</si>
  <si>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</si>
  <si>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</si>
  <si>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</si>
  <si>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</si>
  <si>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</si>
  <si>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</si>
  <si>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</si>
  <si>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</si>
  <si>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</si>
  <si>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</si>
  <si>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</si>
  <si>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</si>
  <si>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</si>
  <si>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</si>
  <si>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</si>
  <si>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</si>
  <si>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</si>
  <si>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</si>
  <si>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</si>
  <si>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</si>
  <si>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</si>
  <si>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</si>
  <si>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</si>
  <si>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</si>
  <si>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</si>
  <si>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</si>
  <si>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</si>
  <si>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</si>
  <si>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</si>
  <si>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</si>
  <si>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</si>
  <si>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</si>
  <si>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</si>
  <si>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</si>
  <si>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</si>
  <si>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</si>
  <si>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</si>
  <si>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</si>
  <si>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</si>
  <si>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</si>
  <si>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</si>
  <si>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</si>
  <si>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</si>
  <si>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</si>
  <si>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</si>
  <si>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</si>
  <si>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</si>
  <si>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</si>
  <si>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</si>
  <si>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</si>
  <si>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</si>
  <si>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</si>
  <si>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</si>
  <si>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</si>
  <si>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</si>
  <si>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</si>
  <si>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</si>
  <si>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</si>
  <si>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</si>
  <si>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</si>
  <si>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</si>
  <si>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</si>
  <si>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</si>
  <si>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</si>
  <si>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</si>
  <si>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</si>
  <si>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</si>
  <si>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</si>
  <si>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</si>
  <si>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</si>
  <si>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</si>
  <si>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</si>
  <si>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</si>
  <si>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</si>
  <si>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</si>
  <si>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</si>
  <si>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</si>
  <si>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</si>
  <si>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</si>
  <si>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</si>
  <si>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</si>
  <si>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</si>
  <si>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</si>
  <si>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</si>
  <si>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</si>
  <si>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</si>
  <si>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</si>
  <si>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</si>
  <si>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</si>
  <si>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</si>
  <si>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</si>
  <si>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</si>
  <si>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</si>
  <si>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</si>
  <si>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</si>
  <si>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</si>
  <si>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</si>
  <si>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</si>
  <si>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</si>
  <si>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</si>
  <si>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</si>
  <si>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</si>
  <si>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</si>
  <si>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</si>
  <si>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</si>
  <si>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</si>
  <si>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</si>
  <si>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</si>
  <si>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</si>
  <si>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</si>
  <si>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</si>
  <si>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</si>
  <si>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</si>
  <si>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</si>
  <si>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</si>
  <si>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</si>
  <si>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</si>
  <si>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</si>
  <si>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</si>
  <si>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</si>
  <si>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</si>
  <si>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</si>
  <si>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</si>
  <si>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</si>
  <si>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</si>
  <si>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</si>
  <si>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</si>
  <si>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</si>
  <si>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</si>
  <si>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</si>
  <si>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</si>
  <si>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</si>
  <si>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</si>
  <si>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</si>
  <si>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</si>
  <si>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</si>
  <si>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</si>
  <si>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</si>
  <si>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</si>
  <si>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</si>
  <si>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</si>
  <si>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</si>
  <si>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</si>
  <si>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</si>
  <si>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</si>
  <si>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</si>
  <si>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</si>
  <si>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</si>
  <si>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</si>
  <si>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</si>
  <si>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</si>
  <si>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</si>
  <si>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</si>
  <si>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</si>
  <si>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</si>
  <si>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</si>
  <si>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</si>
  <si>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</si>
  <si>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</si>
  <si>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</si>
  <si>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</si>
  <si>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</si>
  <si>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</si>
  <si>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</si>
  <si>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</si>
  <si>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</si>
  <si>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</si>
  <si>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</si>
  <si>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</si>
  <si>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</si>
  <si>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</si>
  <si>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</si>
  <si>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</si>
  <si>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</si>
  <si>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</si>
  <si>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</si>
  <si>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</si>
  <si>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</si>
  <si>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</si>
  <si>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</si>
  <si>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</si>
  <si>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</si>
  <si>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</si>
  <si>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</si>
  <si>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</si>
  <si>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</si>
  <si>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</si>
  <si>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</si>
  <si>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</si>
  <si>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</si>
  <si>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</si>
  <si>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</si>
  <si>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</si>
  <si>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</si>
  <si>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</si>
  <si>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</si>
  <si>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</si>
  <si>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</si>
  <si>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</si>
  <si>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</si>
  <si>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</si>
  <si>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</si>
  <si>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</si>
  <si>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</si>
  <si>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</si>
  <si>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</si>
  <si>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</si>
  <si>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</si>
  <si>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</si>
  <si>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</si>
  <si>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</si>
  <si>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</si>
  <si>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</si>
  <si>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</si>
  <si>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</si>
  <si>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</si>
  <si>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</si>
  <si>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</si>
  <si>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</si>
  <si>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</si>
  <si>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</si>
  <si>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</si>
  <si>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</si>
  <si>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</si>
  <si>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</si>
  <si>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</si>
  <si>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</si>
  <si>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</si>
  <si>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</si>
  <si>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</si>
  <si>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</si>
  <si>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</si>
  <si>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</si>
  <si>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</si>
  <si>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</si>
  <si>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</si>
  <si>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</si>
  <si>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</si>
  <si>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</si>
  <si>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</si>
  <si>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</si>
  <si>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</si>
  <si>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</si>
  <si>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</si>
  <si>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</si>
  <si>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</si>
  <si>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</si>
  <si>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</si>
  <si>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</si>
  <si>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</si>
  <si>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</si>
  <si>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</si>
  <si>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</si>
  <si>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</si>
  <si>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</si>
  <si>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</si>
  <si>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</si>
  <si>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</si>
  <si>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</si>
  <si>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</si>
  <si>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</si>
  <si>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</si>
  <si>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</si>
  <si>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</si>
  <si>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</si>
  <si>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</si>
  <si>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</si>
  <si>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</si>
  <si>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</si>
  <si>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</si>
  <si>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</si>
  <si>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</si>
  <si>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</si>
  <si>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</si>
  <si>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</si>
  <si>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</si>
  <si>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</si>
  <si>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</si>
  <si>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</si>
  <si>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</si>
  <si>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</si>
  <si>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</si>
  <si>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</si>
  <si>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</si>
  <si>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</si>
  <si>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</si>
  <si>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</si>
  <si>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</si>
  <si>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</si>
  <si>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</si>
  <si>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</si>
  <si>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</si>
  <si>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</si>
  <si>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</si>
  <si>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</si>
  <si>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</si>
  <si>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</si>
  <si>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</si>
  <si>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</si>
  <si>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</si>
  <si>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</si>
  <si>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</si>
  <si>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</si>
  <si>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</si>
  <si>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</si>
  <si>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</si>
  <si>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</si>
  <si>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</si>
  <si>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</si>
  <si>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</si>
  <si>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</si>
  <si>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</si>
  <si>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</si>
  <si>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</si>
  <si>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</si>
  <si>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</si>
  <si>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</si>
  <si>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</si>
  <si>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</si>
  <si>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</si>
  <si>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</si>
  <si>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</si>
  <si>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</si>
  <si>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</si>
  <si>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</si>
  <si>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</si>
  <si>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</si>
  <si>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</si>
  <si>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</si>
  <si>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</si>
  <si>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</si>
  <si>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</si>
  <si>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</si>
  <si>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</si>
  <si>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</si>
  <si>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</si>
  <si>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</si>
  <si>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</si>
  <si>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</si>
  <si>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</si>
  <si>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</si>
  <si>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</si>
  <si>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</si>
  <si>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</si>
  <si>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</si>
  <si>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</si>
  <si>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</si>
  <si>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</si>
  <si>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</si>
  <si>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</si>
  <si>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</si>
  <si>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</si>
  <si>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</si>
  <si>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</si>
  <si>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</si>
  <si>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</si>
  <si>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</si>
  <si>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</si>
  <si>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</si>
  <si>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</si>
  <si>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</si>
  <si>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</si>
  <si>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</si>
  <si>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</si>
  <si>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</si>
  <si>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</si>
  <si>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</si>
  <si>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</si>
  <si>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</si>
  <si>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</si>
  <si>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</si>
  <si>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</si>
  <si>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</si>
  <si>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</si>
  <si>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</si>
  <si>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</si>
  <si>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</si>
  <si>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</si>
  <si>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</si>
  <si>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</si>
  <si>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</si>
  <si>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</si>
  <si>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</si>
  <si>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</si>
  <si>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</si>
  <si>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</si>
  <si>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</si>
  <si>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</si>
  <si>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</si>
  <si>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</si>
  <si>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</si>
  <si>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</si>
  <si>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</si>
  <si>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</si>
  <si>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</si>
  <si>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</si>
  <si>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</si>
  <si>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</si>
  <si>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</si>
  <si>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</si>
  <si>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</si>
  <si>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</si>
  <si>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</si>
  <si>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</si>
  <si>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</si>
  <si>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</si>
  <si>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</si>
  <si>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</si>
  <si>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</si>
  <si>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</si>
  <si>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</si>
  <si>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</si>
  <si>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</si>
  <si>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</si>
  <si>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</si>
  <si>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</si>
  <si>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</si>
  <si>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</si>
  <si>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</si>
  <si>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</si>
  <si>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</si>
  <si>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</si>
  <si>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</si>
  <si>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</si>
  <si>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</si>
  <si>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</si>
  <si>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</si>
  <si>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</si>
  <si>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</si>
  <si>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</si>
  <si>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</si>
  <si>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</si>
  <si>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</si>
  <si>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</si>
  <si>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</si>
  <si>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</si>
  <si>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</si>
  <si>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</si>
  <si>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</si>
  <si>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</si>
  <si>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</si>
  <si>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</si>
  <si>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</si>
  <si>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</si>
  <si>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</si>
  <si>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</si>
  <si>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</si>
  <si>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</si>
  <si>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</si>
  <si>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</si>
  <si>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</si>
  <si>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</si>
  <si>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</si>
  <si>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</si>
  <si>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</si>
  <si>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</si>
  <si>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</si>
  <si>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</si>
  <si>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</si>
  <si>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</si>
  <si>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</si>
  <si>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</si>
  <si>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</si>
  <si>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</si>
  <si>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</si>
  <si>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</si>
  <si>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</si>
  <si>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</si>
  <si>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</si>
  <si>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</si>
  <si>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</si>
  <si>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</si>
  <si>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</si>
  <si>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</si>
  <si>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</si>
  <si>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</si>
  <si>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</si>
  <si>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</si>
  <si>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</si>
  <si>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</si>
  <si>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</si>
  <si>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</si>
  <si>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</si>
  <si>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</si>
  <si>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</si>
  <si>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</si>
  <si>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</si>
  <si>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</si>
  <si>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</si>
  <si>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</si>
  <si>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</si>
  <si>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</si>
  <si>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</si>
  <si>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</si>
  <si>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</si>
  <si>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</si>
  <si>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</si>
  <si>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</si>
  <si>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</si>
  <si>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</si>
  <si>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</si>
  <si>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</si>
  <si>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</si>
  <si>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</si>
  <si>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</si>
  <si>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</si>
  <si>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</si>
  <si>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</si>
  <si>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</si>
  <si>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</si>
  <si>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</si>
  <si>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</si>
  <si>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</si>
  <si>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</si>
  <si>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</si>
  <si>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</si>
  <si>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</si>
  <si>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</si>
  <si>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</si>
  <si>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</si>
  <si>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</si>
  <si>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</si>
  <si>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</si>
  <si>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</si>
  <si>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</si>
  <si>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</si>
  <si>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</si>
  <si>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</si>
  <si>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</si>
  <si>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</si>
  <si>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</si>
  <si>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</si>
  <si>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</si>
  <si>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</si>
  <si>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</si>
  <si>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</si>
  <si>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</si>
  <si>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</si>
  <si>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</si>
  <si>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</si>
  <si>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</si>
  <si>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</si>
  <si>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</si>
  <si>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</si>
  <si>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</si>
  <si>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</si>
  <si>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</si>
  <si>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</si>
  <si>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</si>
  <si>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</si>
  <si>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</si>
  <si>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</si>
  <si>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</si>
  <si>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</si>
  <si>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</si>
  <si>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</si>
  <si>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</si>
  <si>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</si>
  <si>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</si>
  <si>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</si>
  <si>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</si>
  <si>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</si>
  <si>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</si>
  <si>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</si>
  <si>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</si>
  <si>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</si>
  <si>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</si>
  <si>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</si>
  <si>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</si>
  <si>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</si>
  <si>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</si>
  <si>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</si>
  <si>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</si>
  <si>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</si>
  <si>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</si>
  <si>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</si>
  <si>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</si>
  <si>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</si>
  <si>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</si>
  <si>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</si>
  <si>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</si>
  <si>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</si>
  <si>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</si>
  <si>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</si>
  <si>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</si>
  <si>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</si>
  <si>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</si>
  <si>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</si>
  <si>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</si>
  <si>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</si>
  <si>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</si>
  <si>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</si>
  <si>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</si>
  <si>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</si>
  <si>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</si>
  <si>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</si>
  <si>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</si>
  <si>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</si>
  <si>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</si>
  <si>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</si>
  <si>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</si>
  <si>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</si>
  <si>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</si>
  <si>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</si>
  <si>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</si>
  <si>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</si>
  <si>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</si>
  <si>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</si>
  <si>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</si>
  <si>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</si>
  <si>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</si>
  <si>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</si>
  <si>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</si>
  <si>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</si>
  <si>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</si>
  <si>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</si>
  <si>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</si>
  <si>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</si>
  <si>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</si>
  <si>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</si>
  <si>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</si>
  <si>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</si>
  <si>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</si>
  <si>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</si>
  <si>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</si>
  <si>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</si>
  <si>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</si>
  <si>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</si>
  <si>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</si>
  <si>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</si>
  <si>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</si>
  <si>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</si>
  <si>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</si>
  <si>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</si>
  <si>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</si>
  <si>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</si>
  <si>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</si>
  <si>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</si>
  <si>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</si>
  <si>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</si>
  <si>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</si>
  <si>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</si>
  <si>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</si>
  <si>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</si>
  <si>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</si>
  <si>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</si>
  <si>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</si>
  <si>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</si>
  <si>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</si>
  <si>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</si>
  <si>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</si>
  <si>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</si>
  <si>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</si>
  <si>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</si>
  <si>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</si>
  <si>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</si>
  <si>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</si>
  <si>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</si>
  <si>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</si>
  <si>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</si>
  <si>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</si>
  <si>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</si>
  <si>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</si>
  <si>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</si>
  <si>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</si>
  <si>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</si>
  <si>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</si>
  <si>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</si>
  <si>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</si>
  <si>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</si>
  <si>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</si>
  <si>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</si>
  <si>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</si>
  <si>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</si>
  <si>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</si>
  <si>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</si>
  <si>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</si>
  <si>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</si>
  <si>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</si>
  <si>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</si>
  <si>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</si>
  <si>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</si>
  <si>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</si>
  <si>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</si>
  <si>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</si>
  <si>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</si>
  <si>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</si>
  <si>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</si>
  <si>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</si>
  <si>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</si>
  <si>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</si>
  <si>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</si>
  <si>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</si>
  <si>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</si>
  <si>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</si>
  <si>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</si>
  <si>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</si>
  <si>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</si>
  <si>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</si>
  <si>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</si>
  <si>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</si>
  <si>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</si>
  <si>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</si>
  <si>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</si>
  <si>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</si>
  <si>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</si>
  <si>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</si>
  <si>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</si>
  <si>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</si>
  <si>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</si>
  <si>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</si>
  <si>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</si>
  <si>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</si>
  <si>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</si>
  <si>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</si>
  <si>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</si>
  <si>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</si>
  <si>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</si>
  <si>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</si>
  <si>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</si>
  <si>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</si>
  <si>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</si>
  <si>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</si>
  <si>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</si>
  <si>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</si>
  <si>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</si>
  <si>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</si>
  <si>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</si>
  <si>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</si>
  <si>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</si>
  <si>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</si>
  <si>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</si>
  <si>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</si>
  <si>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</si>
  <si>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</si>
  <si>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</si>
  <si>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</si>
  <si>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</si>
  <si>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</si>
  <si>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</si>
  <si>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</si>
  <si>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</si>
  <si>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</si>
  <si>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</si>
  <si>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</si>
  <si>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</si>
  <si>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</si>
  <si>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</si>
  <si>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</si>
  <si>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</si>
  <si>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</si>
  <si>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</si>
  <si>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</si>
  <si>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</si>
  <si>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</si>
  <si>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</si>
  <si>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</si>
  <si>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</si>
  <si>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</si>
  <si>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</si>
  <si>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</si>
  <si>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</si>
  <si>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</si>
  <si>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</si>
  <si>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</si>
  <si>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</si>
  <si>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</si>
  <si>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</si>
  <si>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</si>
  <si>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</si>
  <si>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</si>
  <si>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</si>
  <si>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</si>
  <si>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</si>
  <si>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</si>
  <si>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</si>
  <si>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</si>
  <si>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</si>
  <si>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</si>
  <si>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</si>
  <si>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</si>
  <si>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</si>
  <si>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</si>
  <si>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</si>
  <si>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</si>
  <si>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</si>
  <si>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</si>
  <si>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</si>
  <si>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</si>
  <si>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</si>
  <si>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</si>
  <si>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</si>
  <si>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</si>
  <si>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</si>
  <si>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</si>
  <si>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</si>
  <si>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</si>
  <si>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</si>
  <si>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</si>
  <si>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</si>
  <si>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</si>
  <si>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</si>
  <si>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</si>
  <si>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</si>
  <si>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</si>
  <si>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</si>
  <si>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</si>
  <si>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</si>
  <si>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</si>
  <si>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</si>
  <si>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</si>
  <si>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</si>
  <si>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</si>
  <si>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</si>
  <si>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</si>
  <si>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</si>
  <si>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</si>
  <si>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</si>
  <si>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</si>
  <si>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</si>
  <si>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</si>
  <si>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</si>
  <si>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</si>
  <si>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</si>
  <si>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</si>
  <si>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</si>
  <si>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</si>
  <si>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</si>
  <si>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</si>
  <si>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</si>
  <si>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</si>
  <si>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</si>
  <si>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</si>
  <si>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</si>
  <si>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</si>
  <si>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</si>
  <si>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</si>
  <si>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</si>
  <si>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</si>
  <si>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</si>
  <si>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</si>
  <si>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</si>
  <si>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</si>
  <si>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</si>
  <si>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</si>
  <si>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</si>
  <si>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</si>
  <si>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</si>
  <si>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</si>
  <si>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</si>
  <si>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</si>
  <si>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</si>
  <si>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</si>
  <si>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</si>
  <si>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</si>
  <si>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</si>
  <si>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</si>
  <si>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</si>
  <si>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</si>
  <si>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</si>
  <si>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</si>
  <si>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</si>
  <si>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</si>
  <si>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</si>
  <si>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</si>
  <si>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</si>
  <si>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</si>
  <si>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</si>
  <si>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</si>
  <si>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</si>
  <si>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</si>
  <si>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</si>
  <si>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</si>
  <si>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</si>
  <si>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</si>
  <si>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</si>
  <si>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</si>
  <si>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</si>
  <si>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</si>
  <si>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</si>
  <si>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</si>
  <si>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</si>
  <si>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</si>
  <si>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</si>
  <si>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</si>
  <si>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</si>
  <si>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</si>
  <si>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</si>
  <si>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</si>
  <si>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</si>
  <si>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</si>
  <si>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</si>
  <si>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</si>
  <si>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</si>
  <si>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</si>
  <si>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</si>
  <si>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</si>
  <si>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</si>
  <si>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</si>
  <si>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</si>
  <si>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</si>
  <si>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</si>
  <si>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</si>
  <si>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</si>
  <si>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</si>
  <si>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</si>
  <si>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</si>
  <si>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</si>
  <si>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</si>
  <si>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</si>
  <si>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</si>
  <si>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</si>
  <si>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</si>
  <si>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</si>
  <si>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</si>
  <si>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</si>
  <si>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</si>
  <si>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</si>
  <si>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</si>
  <si>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</si>
  <si>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</si>
  <si>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</si>
  <si>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</si>
  <si>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</si>
  <si>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</si>
  <si>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</si>
  <si>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</si>
  <si>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</si>
  <si>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</si>
  <si>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</si>
  <si>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</si>
  <si>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</si>
  <si>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</si>
  <si>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</si>
  <si>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</si>
  <si>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</si>
  <si>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</si>
  <si>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</si>
  <si>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</si>
  <si>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</si>
  <si>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</si>
  <si>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</si>
  <si>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</si>
  <si>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</si>
  <si>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</si>
  <si>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</si>
  <si>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</si>
  <si>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</si>
  <si>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</si>
  <si>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</si>
  <si>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</si>
  <si>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</si>
  <si>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</si>
  <si>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</si>
  <si>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</si>
  <si>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</si>
  <si>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</si>
  <si>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</si>
  <si>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</si>
  <si>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</si>
  <si>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</si>
  <si>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</si>
  <si>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</si>
  <si>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</si>
  <si>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</si>
  <si>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</si>
  <si>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</si>
  <si>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</si>
  <si>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</si>
  <si>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</si>
  <si>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</si>
  <si>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</si>
  <si>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</si>
  <si>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</si>
  <si>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</si>
  <si>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</si>
  <si>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</si>
  <si>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</si>
  <si>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</si>
  <si>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</si>
  <si>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</si>
  <si>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</si>
  <si>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</si>
  <si>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</si>
  <si>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</si>
  <si>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</si>
  <si>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</si>
  <si>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</si>
  <si>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</si>
  <si>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</si>
  <si>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</si>
  <si>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</si>
  <si>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</si>
  <si>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</si>
  <si>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</si>
  <si>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</si>
  <si>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</si>
  <si>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</si>
  <si>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</si>
  <si>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</si>
  <si>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</si>
  <si>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</si>
  <si>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</si>
  <si>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</si>
  <si>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</si>
  <si>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</si>
  <si>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</si>
  <si>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</si>
  <si>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</si>
  <si>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</si>
  <si>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</si>
  <si>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</si>
  <si>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</si>
  <si>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</si>
  <si>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</si>
  <si>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</si>
  <si>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</si>
  <si>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</si>
  <si>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</si>
  <si>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</si>
  <si>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</si>
  <si>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</si>
  <si>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</si>
  <si>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</si>
  <si>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</si>
  <si>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</si>
  <si>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</si>
  <si>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</si>
  <si>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</si>
  <si>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</si>
  <si>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</si>
  <si>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</si>
  <si>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</si>
  <si>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</si>
  <si>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</si>
  <si>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</si>
  <si>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</si>
  <si>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</si>
  <si>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</si>
  <si>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</si>
  <si>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</si>
  <si>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</si>
  <si>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</si>
  <si>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</si>
  <si>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</si>
  <si>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</si>
  <si>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</si>
  <si>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</si>
  <si>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</si>
  <si>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</si>
  <si>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</si>
  <si>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</si>
  <si>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</si>
  <si>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</si>
  <si>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</si>
  <si>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</si>
  <si>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</si>
  <si>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</si>
  <si>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</si>
  <si>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</si>
  <si>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</si>
  <si>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</si>
  <si>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</si>
  <si>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</si>
  <si>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</si>
  <si>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</si>
  <si>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</si>
  <si>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</si>
  <si>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</si>
  <si>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</si>
  <si>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</si>
  <si>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</si>
  <si>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</si>
  <si>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</si>
  <si>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</si>
  <si>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</si>
  <si>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</si>
  <si>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</si>
  <si>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</si>
  <si>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</si>
  <si>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</si>
  <si>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</si>
  <si>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</si>
  <si>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</si>
  <si>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</si>
  <si>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</si>
  <si>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</si>
  <si>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</si>
  <si>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</si>
  <si>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</si>
  <si>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</si>
  <si>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</si>
  <si>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</si>
  <si>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</si>
  <si>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</si>
  <si>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</si>
  <si>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</si>
  <si>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</si>
  <si>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</si>
  <si>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</si>
  <si>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</si>
  <si>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</si>
  <si>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</si>
  <si>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</si>
  <si>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</si>
  <si>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</si>
  <si>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</si>
  <si>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</si>
  <si>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</si>
  <si>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</si>
  <si>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</si>
  <si>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</si>
  <si>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</si>
  <si>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</si>
  <si>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</si>
  <si>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</si>
  <si>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</si>
  <si>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</si>
  <si>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</si>
  <si>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</si>
  <si>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</si>
  <si>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</si>
  <si>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</si>
  <si>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</si>
  <si>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</si>
  <si>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</si>
  <si>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</si>
  <si>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</si>
  <si>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</si>
  <si>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</si>
  <si>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</si>
  <si>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</si>
  <si>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</si>
  <si>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</si>
  <si>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</si>
  <si>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</si>
  <si>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</si>
  <si>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</si>
  <si>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</si>
  <si>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</si>
  <si>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</si>
  <si>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</si>
  <si>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</si>
  <si>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</si>
  <si>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</si>
  <si>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</si>
  <si>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</si>
  <si>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</si>
  <si>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</si>
  <si>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</si>
  <si>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</si>
  <si>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</si>
  <si>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</si>
  <si>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</si>
  <si>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</si>
  <si>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</si>
  <si>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</si>
  <si>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</si>
  <si>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</si>
  <si>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</si>
  <si>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</si>
  <si>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</si>
  <si>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</si>
  <si>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</si>
  <si>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</si>
  <si>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</si>
  <si>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</si>
  <si>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</si>
  <si>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</si>
  <si>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</si>
  <si>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</si>
  <si>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</si>
  <si>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</si>
  <si>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</si>
  <si>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</si>
  <si>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</si>
  <si>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</si>
  <si>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</si>
  <si>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</si>
  <si>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</si>
  <si>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</si>
  <si>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</si>
  <si>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</si>
  <si>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</si>
  <si>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</si>
  <si>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</si>
  <si>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</si>
  <si>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</si>
  <si>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</si>
  <si>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</si>
  <si>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</si>
  <si>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</si>
  <si>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</si>
  <si>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</si>
  <si>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</si>
  <si>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</si>
  <si>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</si>
  <si>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</si>
  <si>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</si>
  <si>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</si>
  <si>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</si>
  <si>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</si>
  <si>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</si>
  <si>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</si>
  <si>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</si>
  <si>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</si>
  <si>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</si>
  <si>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</si>
  <si>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</si>
  <si>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</si>
  <si>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</si>
  <si>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</si>
  <si>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</si>
  <si>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</si>
  <si>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</si>
  <si>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</si>
  <si>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</si>
  <si>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</si>
  <si>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</si>
  <si>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</si>
  <si>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</si>
  <si>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</si>
  <si>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</si>
  <si>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</si>
  <si>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</si>
  <si>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</si>
  <si>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</si>
  <si>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</si>
  <si>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</si>
  <si>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</si>
  <si>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</si>
  <si>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</si>
  <si>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</si>
  <si>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</si>
  <si>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</si>
  <si>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</si>
  <si>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</si>
  <si>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</si>
  <si>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</si>
  <si>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</si>
  <si>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</si>
  <si>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</si>
  <si>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</si>
  <si>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</si>
  <si>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</si>
  <si>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</si>
  <si>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</si>
  <si>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</si>
  <si>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</si>
  <si>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</si>
  <si>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</si>
  <si>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</si>
  <si>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</si>
  <si>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</si>
  <si>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</si>
  <si>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</si>
  <si>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</si>
  <si>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</si>
  <si>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</si>
  <si>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</si>
  <si>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</si>
  <si>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</si>
  <si>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</si>
  <si>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</si>
  <si>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</si>
  <si>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</si>
  <si>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</si>
  <si>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</si>
  <si>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</si>
  <si>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</si>
  <si>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</si>
  <si>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</si>
  <si>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</si>
  <si>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</si>
  <si>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</si>
  <si>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</si>
  <si>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</si>
  <si>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</si>
  <si>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</si>
  <si>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</si>
  <si>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</si>
  <si>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</si>
  <si>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</si>
  <si>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</si>
  <si>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</si>
  <si>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</si>
  <si>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</si>
  <si>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</si>
  <si>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</si>
  <si>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</si>
  <si>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</si>
  <si>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</si>
  <si>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</si>
  <si>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</si>
  <si>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</si>
  <si>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</si>
  <si>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</si>
  <si>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</si>
  <si>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</si>
  <si>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</si>
  <si>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</si>
  <si>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</si>
  <si>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</si>
  <si>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</si>
  <si>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</si>
  <si>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</si>
  <si>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</si>
  <si>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</si>
  <si>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</si>
  <si>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</si>
  <si>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</si>
  <si>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</si>
  <si>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</si>
  <si>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</si>
  <si>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</si>
  <si>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</si>
  <si>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</si>
  <si>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</si>
  <si>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</si>
  <si>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</si>
  <si>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</si>
  <si>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</si>
  <si>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</si>
  <si>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</si>
  <si>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</si>
  <si>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</si>
  <si>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</si>
  <si>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</si>
  <si>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</si>
  <si>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</si>
  <si>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</si>
  <si>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</si>
  <si>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</si>
  <si>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</si>
  <si>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</si>
  <si>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</si>
  <si>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</si>
  <si>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</si>
  <si>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</si>
  <si>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</si>
  <si>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</si>
  <si>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</si>
  <si>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</si>
  <si>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</si>
  <si>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</si>
  <si>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</si>
  <si>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</si>
  <si>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</si>
  <si>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</si>
  <si>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</si>
  <si>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</si>
  <si>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</si>
  <si>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</si>
  <si>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</si>
  <si>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</si>
  <si>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</si>
  <si>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</si>
  <si>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</si>
  <si>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</si>
  <si>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</si>
  <si>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</si>
  <si>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</si>
  <si>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</si>
  <si>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</si>
  <si>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</si>
  <si>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</si>
  <si>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</si>
  <si>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</si>
  <si>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</si>
  <si>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</si>
  <si>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</si>
  <si>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</si>
  <si>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</si>
  <si>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</si>
  <si>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</si>
  <si>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</si>
  <si>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</si>
  <si>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</si>
  <si>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</si>
  <si>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</si>
  <si>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</si>
  <si>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</si>
  <si>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</si>
  <si>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</si>
  <si>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</si>
  <si>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</si>
  <si>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</si>
  <si>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</si>
  <si>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</si>
  <si>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</si>
  <si>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</si>
  <si>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</si>
  <si>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</si>
  <si>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</si>
  <si>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</si>
  <si>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</si>
  <si>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</si>
  <si>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</si>
  <si>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</si>
  <si>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</si>
  <si>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</si>
  <si>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</si>
  <si>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</si>
  <si>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</si>
  <si>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</si>
  <si>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</si>
  <si>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</si>
  <si>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</si>
  <si>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</si>
  <si>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</si>
  <si>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</si>
  <si>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</si>
  <si>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</si>
  <si>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</si>
  <si>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</si>
  <si>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</si>
  <si>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</si>
  <si>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</si>
  <si>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</si>
  <si>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</si>
  <si>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</si>
  <si>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</si>
  <si>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</si>
  <si>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</si>
  <si>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</si>
  <si>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</si>
  <si>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</si>
  <si>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</si>
  <si>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</si>
  <si>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</si>
  <si>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</si>
  <si>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</si>
  <si>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</si>
  <si>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</si>
  <si>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</si>
  <si>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</si>
  <si>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</si>
  <si>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</si>
  <si>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</si>
  <si>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</si>
  <si>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</si>
  <si>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</si>
  <si>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</si>
  <si>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</si>
  <si>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</si>
  <si>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</si>
  <si>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</si>
  <si>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</si>
  <si>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</si>
  <si>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</si>
  <si>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</si>
  <si>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</si>
  <si>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</si>
  <si>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</si>
  <si>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</si>
  <si>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</si>
  <si>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</si>
  <si>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</si>
  <si>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</si>
  <si>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</si>
  <si>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</si>
  <si>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</si>
  <si>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</si>
  <si>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</si>
  <si>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</si>
  <si>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</si>
  <si>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</si>
  <si>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</si>
  <si>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</si>
  <si>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</si>
  <si>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</si>
  <si>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</si>
  <si>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</si>
  <si>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</si>
  <si>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</si>
  <si>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</si>
  <si>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</si>
  <si>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</si>
  <si>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</si>
  <si>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</si>
  <si>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</si>
  <si>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</si>
  <si>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</si>
  <si>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</si>
  <si>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</si>
  <si>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</si>
  <si>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</si>
  <si>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</si>
  <si>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</si>
  <si>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</si>
  <si>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</si>
  <si>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</si>
  <si>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</si>
  <si>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</si>
  <si>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</si>
  <si>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</si>
  <si>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</si>
  <si>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</si>
  <si>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</si>
  <si>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</si>
  <si>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</si>
  <si>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</si>
  <si>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</si>
  <si>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</si>
  <si>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</si>
  <si>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</si>
  <si>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</si>
  <si>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</si>
  <si>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</si>
  <si>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</si>
  <si>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</si>
  <si>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</si>
  <si>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</si>
  <si>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</si>
  <si>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</si>
  <si>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</si>
  <si>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</si>
  <si>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</si>
  <si>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</si>
  <si>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</si>
  <si>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</si>
  <si>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</si>
  <si>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</si>
  <si>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</si>
  <si>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</si>
  <si>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</si>
  <si>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</si>
  <si>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</si>
  <si>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</si>
  <si>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</si>
  <si>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</si>
  <si>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</si>
  <si>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</si>
  <si>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</si>
  <si>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</si>
  <si>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</si>
  <si>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</si>
  <si>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</si>
  <si>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</si>
  <si>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</si>
  <si>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</si>
  <si>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</si>
  <si>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</si>
  <si>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</si>
  <si>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</si>
  <si>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</si>
  <si>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</si>
  <si>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</si>
  <si>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</si>
  <si>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</si>
  <si>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</si>
  <si>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</si>
  <si>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</si>
  <si>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</si>
  <si>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</si>
  <si>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</si>
  <si>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</si>
  <si>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</si>
  <si>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</si>
  <si>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</si>
  <si>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</si>
  <si>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</si>
  <si>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</si>
  <si>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</si>
  <si>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</si>
  <si>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</si>
  <si>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</si>
  <si>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</si>
  <si>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</si>
  <si>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</si>
  <si>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</si>
  <si>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</si>
  <si>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</si>
  <si>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</si>
  <si>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</si>
  <si>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</si>
  <si>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</si>
  <si>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</si>
  <si>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</si>
  <si>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</si>
  <si>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</si>
  <si>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</si>
  <si>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</si>
  <si>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</si>
  <si>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</si>
  <si>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</si>
  <si>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</si>
  <si>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</si>
  <si>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</si>
  <si>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</si>
  <si>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</si>
  <si>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</si>
  <si>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</si>
  <si>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</si>
  <si>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</si>
  <si>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</si>
  <si>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</si>
  <si>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</si>
  <si>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</si>
  <si>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</si>
  <si>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</si>
  <si>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</si>
  <si>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</si>
  <si>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</si>
  <si>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</si>
  <si>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</si>
  <si>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</si>
  <si>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</si>
  <si>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</si>
  <si>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</si>
  <si>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</si>
  <si>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</si>
  <si>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</si>
  <si>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</si>
  <si>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</si>
  <si>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</si>
  <si>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</si>
  <si>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</si>
  <si>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</si>
  <si>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</si>
  <si>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</si>
  <si>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</si>
  <si>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</si>
  <si>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</si>
  <si>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</si>
  <si>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</si>
  <si>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</si>
  <si>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</si>
  <si>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</si>
  <si>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</si>
  <si>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</si>
  <si>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</si>
  <si>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</si>
  <si>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</si>
  <si>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</si>
  <si>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</si>
  <si>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</si>
  <si>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</si>
  <si>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</si>
  <si>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</si>
  <si>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</si>
  <si>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</si>
  <si>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</si>
  <si>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</si>
  <si>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</si>
  <si>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</si>
  <si>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</si>
  <si>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</si>
  <si>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</si>
  <si>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</si>
  <si>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</si>
  <si>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</si>
  <si>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</si>
  <si>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</si>
  <si>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</si>
  <si>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</si>
  <si>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</si>
  <si>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</si>
  <si>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</si>
  <si>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</si>
  <si>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</si>
  <si>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</si>
  <si>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</si>
  <si>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</si>
  <si>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</si>
  <si>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</si>
  <si>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</si>
  <si>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</si>
  <si>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</si>
  <si>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</si>
  <si>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</si>
  <si>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</si>
  <si>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</si>
  <si>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</si>
  <si>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</si>
  <si>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</si>
  <si>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</si>
  <si>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</si>
  <si>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</si>
  <si>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</si>
  <si>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</si>
  <si>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</si>
  <si>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</si>
  <si>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</si>
  <si>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</si>
  <si>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</si>
  <si>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</si>
  <si>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</si>
  <si>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</si>
  <si>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</si>
  <si>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</si>
  <si>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</si>
  <si>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</si>
  <si>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</si>
  <si>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</si>
  <si>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</si>
  <si>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</si>
  <si>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</si>
  <si>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</si>
  <si>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</si>
  <si>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</si>
  <si>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</si>
  <si>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</si>
  <si>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</si>
  <si>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</si>
  <si>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</si>
  <si>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</si>
  <si>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</si>
  <si>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</si>
  <si>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</si>
  <si>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</si>
  <si>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</si>
  <si>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</si>
  <si>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</si>
  <si>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</si>
  <si>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</si>
  <si>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</si>
  <si>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</si>
  <si>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</si>
  <si>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</si>
  <si>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</si>
  <si>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</si>
  <si>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</si>
  <si>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</si>
  <si>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</si>
  <si>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</si>
  <si>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</si>
  <si>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</si>
  <si>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</si>
  <si>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</si>
  <si>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</si>
  <si>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</si>
  <si>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</si>
  <si>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</si>
  <si>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</si>
  <si>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</si>
  <si>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</si>
  <si>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</si>
  <si>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</si>
  <si>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</si>
  <si>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</si>
  <si>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</si>
  <si>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</si>
  <si>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</si>
  <si>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</si>
  <si>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</si>
  <si>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</si>
  <si>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</si>
  <si>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</si>
  <si>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</si>
  <si>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</si>
  <si>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</si>
  <si>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</si>
  <si>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</si>
  <si>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</si>
  <si>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</si>
  <si>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</si>
  <si>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</si>
  <si>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</si>
  <si>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</si>
  <si>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</si>
  <si>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</si>
  <si>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</si>
  <si>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</si>
  <si>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</si>
  <si>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</si>
  <si>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</si>
  <si>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</si>
  <si>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</si>
  <si>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</si>
  <si>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</si>
  <si>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</si>
  <si>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</si>
  <si>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</si>
  <si>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</si>
  <si>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</si>
  <si>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</si>
  <si>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</si>
  <si>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</si>
  <si>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</si>
  <si>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</si>
  <si>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</si>
  <si>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</si>
  <si>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</si>
  <si>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</si>
  <si>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</si>
  <si>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</si>
  <si>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</si>
  <si>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</si>
  <si>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</si>
  <si>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</si>
  <si>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</si>
  <si>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</si>
  <si>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</si>
  <si>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</si>
  <si>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</si>
  <si>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</si>
  <si>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</si>
  <si>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</si>
  <si>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</si>
  <si>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</si>
  <si>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</si>
  <si>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</si>
  <si>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</si>
  <si>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</si>
  <si>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</si>
  <si>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</si>
  <si>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</si>
  <si>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</si>
  <si>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</si>
  <si>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</si>
  <si>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</si>
  <si>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</si>
  <si>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</si>
  <si>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</si>
  <si>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</si>
  <si>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</si>
  <si>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</si>
  <si>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</si>
  <si>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</si>
  <si>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</si>
  <si>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</si>
  <si>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</si>
  <si>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</si>
  <si>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</si>
  <si>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</si>
  <si>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</si>
  <si>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</si>
  <si>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</si>
  <si>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</si>
  <si>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</si>
  <si>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</si>
  <si>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</si>
  <si>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</si>
  <si>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</si>
  <si>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</si>
  <si>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</si>
  <si>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</si>
  <si>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</si>
  <si>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</si>
  <si>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</si>
  <si>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</si>
  <si>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</si>
  <si>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</si>
  <si>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</si>
  <si>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</si>
  <si>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</si>
  <si>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</si>
  <si>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</si>
  <si>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</si>
  <si>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</si>
  <si>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</si>
  <si>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</si>
  <si>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</si>
  <si>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</si>
  <si>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</si>
  <si>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</si>
  <si>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</si>
  <si>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</si>
  <si>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</si>
  <si>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</si>
  <si>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</si>
  <si>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</si>
  <si>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</si>
  <si>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</si>
  <si>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</si>
  <si>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</si>
  <si>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</si>
  <si>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</si>
  <si>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</si>
  <si>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</si>
  <si>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</si>
  <si>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</si>
  <si>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</si>
  <si>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</si>
  <si>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</si>
  <si>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</si>
  <si>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</si>
  <si>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</si>
  <si>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</si>
  <si>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</si>
  <si>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</si>
  <si>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</si>
  <si>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</si>
  <si>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</si>
  <si>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</si>
  <si>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</si>
  <si>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</si>
  <si>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</si>
  <si>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</si>
  <si>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</si>
  <si>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</si>
  <si>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</si>
  <si>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</si>
  <si>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</si>
  <si>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</si>
  <si>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</si>
  <si>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</si>
  <si>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</si>
  <si>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</si>
  <si>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</si>
  <si>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</si>
  <si>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</si>
  <si>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</si>
  <si>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</si>
  <si>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</si>
  <si>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</si>
  <si>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</si>
  <si>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</si>
  <si>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</si>
  <si>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</si>
  <si>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</si>
  <si>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</si>
  <si>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</si>
  <si>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</si>
  <si>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</si>
  <si>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</si>
  <si>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</si>
  <si>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</si>
  <si>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</si>
  <si>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</si>
  <si>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</si>
  <si>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</si>
  <si>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</si>
  <si>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</si>
  <si>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</si>
  <si>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</si>
  <si>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</si>
  <si>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</si>
  <si>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</si>
  <si>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</si>
  <si>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</si>
  <si>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</si>
  <si>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</si>
  <si>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</si>
  <si>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</si>
  <si>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</si>
  <si>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</si>
  <si>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</si>
  <si>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</si>
  <si>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</si>
  <si>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</si>
  <si>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</si>
  <si>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</si>
  <si>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</si>
  <si>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</si>
  <si>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</si>
  <si>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</si>
  <si>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</si>
  <si>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</si>
  <si>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</si>
  <si>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</si>
  <si>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</si>
  <si>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</si>
  <si>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</si>
  <si>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</si>
  <si>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</si>
  <si>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</si>
  <si>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</si>
  <si>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</si>
  <si>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</si>
  <si>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</si>
  <si>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</si>
  <si>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</si>
  <si>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</si>
  <si>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</si>
  <si>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</si>
  <si>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</si>
  <si>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</si>
  <si>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</si>
  <si>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</si>
  <si>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</si>
  <si>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</si>
  <si>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</si>
  <si>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</si>
  <si>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</si>
  <si>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</si>
  <si>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</si>
  <si>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</si>
  <si>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</si>
  <si>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</si>
  <si>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</si>
  <si>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</si>
  <si>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</si>
  <si>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</si>
  <si>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</si>
  <si>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</si>
  <si>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</si>
  <si>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</si>
  <si>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</si>
  <si>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</si>
  <si>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</si>
  <si>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</si>
  <si>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</si>
  <si>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</si>
  <si>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</si>
  <si>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</si>
  <si>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</si>
  <si>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</si>
  <si>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</si>
  <si>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</si>
  <si>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</si>
  <si>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</si>
  <si>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</si>
  <si>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</si>
  <si>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</si>
  <si>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</si>
  <si>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</si>
  <si>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</si>
  <si>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</si>
  <si>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</si>
  <si>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</si>
  <si>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</si>
  <si>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</si>
  <si>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</si>
  <si>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</si>
  <si>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</si>
  <si>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</si>
  <si>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</si>
  <si>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</si>
  <si>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</si>
  <si>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</si>
  <si>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</si>
  <si>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</si>
  <si>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</si>
  <si>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</si>
  <si>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</si>
  <si>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</si>
  <si>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</si>
  <si>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</si>
  <si>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</si>
  <si>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</si>
  <si>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</si>
  <si>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</si>
  <si>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</si>
  <si>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</si>
  <si>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</si>
  <si>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</si>
  <si>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</si>
  <si>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</si>
  <si>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</si>
  <si>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</si>
  <si>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</si>
  <si>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</si>
  <si>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</si>
  <si>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</si>
  <si>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</si>
  <si>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</si>
  <si>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</si>
  <si>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</si>
  <si>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</si>
  <si>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</si>
  <si>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</si>
  <si>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</si>
  <si>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</si>
  <si>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</si>
  <si>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</si>
  <si>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</si>
  <si>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</si>
  <si>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</si>
  <si>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</si>
  <si>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</si>
  <si>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</si>
  <si>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</si>
  <si>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</si>
  <si>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</si>
  <si>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</si>
  <si>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</si>
  <si>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</si>
  <si>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</si>
  <si>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</si>
  <si>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</si>
  <si>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</si>
  <si>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</si>
  <si>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</si>
  <si>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</si>
  <si>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</si>
  <si>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</si>
  <si>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</si>
  <si>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</si>
  <si>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</si>
  <si>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</si>
  <si>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</si>
  <si>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</si>
  <si>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</si>
  <si>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</si>
  <si>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</si>
  <si>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</si>
  <si>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</si>
  <si>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</si>
  <si>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</si>
  <si>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</si>
  <si>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</si>
  <si>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</si>
  <si>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</si>
  <si>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</si>
  <si>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</si>
  <si>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</si>
  <si>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</si>
  <si>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</si>
  <si>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</si>
  <si>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</si>
  <si>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</si>
  <si>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</si>
  <si>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</si>
  <si>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</si>
  <si>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</si>
  <si>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</si>
  <si>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</si>
  <si>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</si>
  <si>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</si>
  <si>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</si>
  <si>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</si>
  <si>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</si>
  <si>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</si>
  <si>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</si>
  <si>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</si>
  <si>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</si>
  <si>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</si>
  <si>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</si>
  <si>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</si>
  <si>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</si>
  <si>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</si>
  <si>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</si>
  <si>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</si>
  <si>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</si>
  <si>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</si>
  <si>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</si>
  <si>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</si>
  <si>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</si>
  <si>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</si>
  <si>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</si>
  <si>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</si>
  <si>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</si>
  <si>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</si>
  <si>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</si>
  <si>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</si>
  <si>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</si>
  <si>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</si>
  <si>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</si>
  <si>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</si>
  <si>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</si>
  <si>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</si>
  <si>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</si>
  <si>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</si>
  <si>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</si>
  <si>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</si>
  <si>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</si>
  <si>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</si>
  <si>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</si>
  <si>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</si>
  <si>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</si>
  <si>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</si>
  <si>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</si>
  <si>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</si>
  <si>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</si>
  <si>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</si>
  <si>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</si>
  <si>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</si>
  <si>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</si>
  <si>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</si>
  <si>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</si>
  <si>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</si>
  <si>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</si>
  <si>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</si>
  <si>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</si>
  <si>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</si>
  <si>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</si>
  <si>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</si>
  <si>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</si>
  <si>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</si>
  <si>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</si>
  <si>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</si>
  <si>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</si>
  <si>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</si>
  <si>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</si>
  <si>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</si>
  <si>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</si>
  <si>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</si>
  <si>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</si>
  <si>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</si>
  <si>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</si>
  <si>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</si>
  <si>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</si>
  <si>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</si>
  <si>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</si>
  <si>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</si>
  <si>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</si>
  <si>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</si>
  <si>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</si>
  <si>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</si>
  <si>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</si>
  <si>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</si>
  <si>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</si>
  <si>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</si>
  <si>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</si>
  <si>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</si>
  <si>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</si>
  <si>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</si>
  <si>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</si>
  <si>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</si>
  <si>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</si>
  <si>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</si>
  <si>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</si>
  <si>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</si>
  <si>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</si>
  <si>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</si>
  <si>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</si>
  <si>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</si>
  <si>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</si>
  <si>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</si>
  <si>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</si>
  <si>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</si>
  <si>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</si>
  <si>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</si>
  <si>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</si>
  <si>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</si>
  <si>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</si>
  <si>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</si>
  <si>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</si>
  <si>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</si>
  <si>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</si>
  <si>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</si>
  <si>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</si>
  <si>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</si>
  <si>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</si>
  <si>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</si>
  <si>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</si>
  <si>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</si>
  <si>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</si>
  <si>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</si>
  <si>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</si>
  <si>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</si>
  <si>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</si>
  <si>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</si>
  <si>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</si>
  <si>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</si>
  <si>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</si>
  <si>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</si>
  <si>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</si>
  <si>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</si>
  <si>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</si>
  <si>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</si>
  <si>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</si>
  <si>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</si>
  <si>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</si>
  <si>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</si>
  <si>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</si>
  <si>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</si>
  <si>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</si>
  <si>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</si>
  <si>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</si>
  <si>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</si>
  <si>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</si>
  <si>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</si>
  <si>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</si>
  <si>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</si>
  <si>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</si>
  <si>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</si>
  <si>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</si>
  <si>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</si>
  <si>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</si>
  <si>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</si>
  <si>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</si>
  <si>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</si>
  <si>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</si>
  <si>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</si>
  <si>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</si>
  <si>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</si>
  <si>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</si>
  <si>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</si>
  <si>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</si>
  <si>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</si>
  <si>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</si>
  <si>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</si>
  <si>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</si>
  <si>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</si>
  <si>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</si>
  <si>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</si>
  <si>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</si>
  <si>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</si>
  <si>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</si>
  <si>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</si>
  <si>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</si>
  <si>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</si>
  <si>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</si>
  <si>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</si>
  <si>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</si>
  <si>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</si>
  <si>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</si>
  <si>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</si>
  <si>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</si>
  <si>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</si>
  <si>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</si>
  <si>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</si>
  <si>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</si>
  <si>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</si>
  <si>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</si>
  <si>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</si>
  <si>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</si>
  <si>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</si>
  <si>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</si>
  <si>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</si>
  <si>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</si>
  <si>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</si>
  <si>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</si>
  <si>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</si>
  <si>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</si>
  <si>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</si>
  <si>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</si>
  <si>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</si>
  <si>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</si>
  <si>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</si>
  <si>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</si>
  <si>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</si>
  <si>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</si>
  <si>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</si>
  <si>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</si>
  <si>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</si>
  <si>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</si>
  <si>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</si>
  <si>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</si>
  <si>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</si>
  <si>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</si>
  <si>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</si>
  <si>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</si>
  <si>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</si>
  <si>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</si>
  <si>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</si>
  <si>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</si>
  <si>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</si>
  <si>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</si>
  <si>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</si>
  <si>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</si>
  <si>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</si>
  <si>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</si>
  <si>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</si>
  <si>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</si>
  <si>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</si>
  <si>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</si>
  <si>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</si>
  <si>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</si>
  <si>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</si>
  <si>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</si>
  <si>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</si>
  <si>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</si>
  <si>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</si>
  <si>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</si>
  <si>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</si>
  <si>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</si>
  <si>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</si>
  <si>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</si>
  <si>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</si>
  <si>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</si>
  <si>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</si>
  <si>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</si>
  <si>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</si>
  <si>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</si>
  <si>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</si>
  <si>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</si>
  <si>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</si>
  <si>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</si>
  <si>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</si>
  <si>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</si>
  <si>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</si>
  <si>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</si>
  <si>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</si>
  <si>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</si>
  <si>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</si>
  <si>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</si>
  <si>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</si>
  <si>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</si>
  <si>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</si>
  <si>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</si>
  <si>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</si>
  <si>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</si>
  <si>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</si>
  <si>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</si>
  <si>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</si>
  <si>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</si>
  <si>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</si>
  <si>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</si>
  <si>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</si>
  <si>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</si>
  <si>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</si>
  <si>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</si>
  <si>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</si>
  <si>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</si>
  <si>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</si>
  <si>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</si>
  <si>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</si>
  <si>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</si>
  <si>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</si>
  <si>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</si>
  <si>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</si>
  <si>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</si>
  <si>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</si>
  <si>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</si>
  <si>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</si>
  <si>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</si>
  <si>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</si>
  <si>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</si>
  <si>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</si>
  <si>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</si>
  <si>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</si>
  <si>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</si>
  <si>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</si>
  <si>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</si>
  <si>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</si>
  <si>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</si>
  <si>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</si>
  <si>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</si>
  <si>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</si>
  <si>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</si>
  <si>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</si>
  <si>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</si>
  <si>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</si>
  <si>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</si>
  <si>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</si>
  <si>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</si>
  <si>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</si>
  <si>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</si>
  <si>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</si>
  <si>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</si>
  <si>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</si>
  <si>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</si>
  <si>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</si>
  <si>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</si>
  <si>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</si>
  <si>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</si>
  <si>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</si>
  <si>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</si>
  <si>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</si>
  <si>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</si>
  <si>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</si>
  <si>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Count of TX ID</t>
  </si>
  <si>
    <t>Sum of Quantity</t>
  </si>
  <si>
    <t>Sum of Amount</t>
  </si>
  <si>
    <t>Average of Rating C</t>
  </si>
  <si>
    <t>Average of Days to Deliver</t>
  </si>
  <si>
    <t>Unknown</t>
  </si>
  <si>
    <t>Male</t>
  </si>
  <si>
    <t>Female</t>
  </si>
  <si>
    <t>Other</t>
  </si>
  <si>
    <t>Row Labels</t>
  </si>
  <si>
    <t>Grand Total</t>
  </si>
  <si>
    <t>Column Labels</t>
  </si>
  <si>
    <t>6 TO 10</t>
  </si>
  <si>
    <t>MORE THAN 10</t>
  </si>
  <si>
    <t>California Total</t>
  </si>
  <si>
    <t>Jan</t>
  </si>
  <si>
    <t>Feb</t>
  </si>
  <si>
    <t>Mar</t>
  </si>
  <si>
    <t>Sum of Rating C</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</si>
  <si>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</si>
  <si>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</si>
  <si>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</si>
  <si>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</si>
  <si>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</si>
  <si>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</si>
  <si>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</si>
  <si>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</si>
  <si>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</si>
  <si>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</si>
  <si>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</si>
  <si>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</si>
  <si>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</si>
  <si>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happy are our customers?</t>
  </si>
  <si>
    <t>How long we take to ship the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</si>
</sst>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
    <numFmt numFmtId="165" formatCode="0.0%"/>
  </numFmts>
  <fonts count="6" x14ac:knownFonts="1">
    <font>
      <sz val="11"/>
      <color theme="1"/>
      <name val="Aptos Narrow"/>
      <family val="2"/>
      <scheme val="minor"/>
    </font>
    <font>
      <b/>
      <sz val="11"/>
      <color theme="1"/>
      <name val="Times New Roman"/>
      <family val="1"/>
    </font>
    <font>
      <b/>
      <sz val="18"/>
      <color theme="1"/>
      <name val="Tahoma"/>
      <family val="2"/>
    </font>
    <font>
      <sz val="18"/>
      <color theme="1"/>
      <name val="Tahoma"/>
      <family val="2"/>
    </font>
    <font>
      <b/>
      <sz val="18"/>
      <color theme="1"/>
      <name val="Times New Roman"/>
      <family val="1"/>
    </font>
    <font>
      <sz val="18"/>
      <color theme="1"/>
      <name val="Times New Roman"/>
      <family val="1"/>
    </font>
  </fonts>
  <fills count="4">
    <fill>
      <patternFill patternType="none"/>
    </fill>
    <fill>
      <patternFill patternType="gray125"/>
    </fill>
    <fill>
      <patternFill patternType="solid">
        <fgColor theme="9"/>
        <bgColor indexed="64"/>
      </patternFill>
    </fill>
    <fill>
      <patternFill patternType="solid">
        <fgColor theme="8" tint="0.39997558519241921"/>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0" fontId="0" fillId="2" borderId="0" xfId="0" applyFill="1"/>
    <xf numFmtId="15"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0" fontId="0" fillId="0" borderId="2" xfId="0" applyBorder="1"/>
    <xf numFmtId="0" fontId="0" fillId="0" borderId="3" xfId="0" applyBorder="1"/>
    <xf numFmtId="1" fontId="0" fillId="0" borderId="2" xfId="0" applyNumberFormat="1" applyBorder="1"/>
    <xf numFmtId="2" fontId="0" fillId="0" borderId="2" xfId="0" applyNumberFormat="1" applyBorder="1"/>
    <xf numFmtId="2" fontId="0" fillId="0" borderId="3" xfId="0" applyNumberFormat="1" applyBorder="1"/>
    <xf numFmtId="0" fontId="1" fillId="0" borderId="4" xfId="0" applyFont="1" applyBorder="1"/>
    <xf numFmtId="0" fontId="1" fillId="0" borderId="4" xfId="0" applyFont="1" applyBorder="1" applyAlignment="1">
      <alignment horizontal="left"/>
    </xf>
    <xf numFmtId="165" fontId="1" fillId="0" borderId="4" xfId="0" applyNumberFormat="1" applyFont="1" applyBorder="1" applyAlignment="1">
      <alignment horizontal="left"/>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3" borderId="6" xfId="0" applyFill="1" applyBorder="1"/>
    <xf numFmtId="0" fontId="0" fillId="3" borderId="7" xfId="0" applyFill="1" applyBorder="1"/>
    <xf numFmtId="0" fontId="0" fillId="3" borderId="8" xfId="0" applyFill="1" applyBorder="1"/>
    <xf numFmtId="0" fontId="2" fillId="3" borderId="5" xfId="0" applyFont="1" applyFill="1" applyBorder="1"/>
    <xf numFmtId="0" fontId="3" fillId="0" borderId="5" xfId="0" applyFont="1" applyBorder="1" applyAlignment="1">
      <alignment horizontal="left" indent="1"/>
    </xf>
    <xf numFmtId="0" fontId="4" fillId="3" borderId="5" xfId="0" applyFont="1" applyFill="1" applyBorder="1"/>
    <xf numFmtId="0" fontId="5" fillId="0" borderId="5" xfId="0" applyFont="1" applyBorder="1"/>
  </cellXfs>
  <cellStyles count="1">
    <cellStyle name="Normal" xfId="0" builtinId="0"/>
  </cellStyles>
  <dxfs count="11">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2" formatCode="0.00"/>
    </dxf>
    <dxf>
      <numFmt numFmtId="2" formatCode="0.00"/>
    </dxf>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EDC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[Excel_Project.xlsx]Sheet1!pvt.line</c:name>
    <c:fmtId val="2"/>
  </c:pivotSource>
  <c:chart>
    <c:title>
      <c:tx>
        <c:rich>
          <a:bodyPr rot="0" spcFirstLastPara="1" vertOverflow="ellipsis" vert="horz" wrap="square" anchor="ctr" anchorCtr="1"/>
          <a:lstStyle/>
          <a:p>
            <a:pPr>
              <a:defRPr sz="2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2400" b="1" i="0" u="none" strike="noStrike" baseline="0">
                <a:solidFill>
                  <a:schemeClr val="tx1"/>
                </a:solidFill>
                <a:effectLst/>
                <a:latin typeface="Times New Roman" panose="02020603050405020304" pitchFamily="18" charset="0"/>
                <a:cs typeface="Times New Roman" panose="02020603050405020304" pitchFamily="18" charset="0"/>
              </a:rPr>
              <a:t>Trend in the last 13 weeks </a:t>
            </a:r>
            <a:endParaRPr lang="en-US" sz="2400" b="1">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4524558167267572"/>
          <c:y val="2.1939939846558624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02959215678962E-2"/>
          <c:y val="0.10707328511330563"/>
          <c:w val="0.83823714140069694"/>
          <c:h val="0.84483777506506041"/>
        </c:manualLayout>
      </c:layout>
      <c:lineChart>
        <c:grouping val="standard"/>
        <c:varyColors val="0"/>
        <c:ser>
          <c:idx val="0"/>
          <c:order val="0"/>
          <c:tx>
            <c:strRef>
              <c:f>Sheet1!$B$7</c:f>
              <c:strCache>
                <c:ptCount val="1"/>
                <c:pt idx="0">
                  <c:v>Sum of Quantity</c:v>
                </c:pt>
              </c:strCache>
            </c:strRef>
          </c:tx>
          <c:spPr>
            <a:ln w="28575" cap="rnd">
              <a:solidFill>
                <a:schemeClr val="accent1"/>
              </a:solidFill>
              <a:round/>
            </a:ln>
            <a:effectLst/>
          </c:spPr>
          <c:marker>
            <c:symbol val="none"/>
          </c:marker>
          <c:cat>
            <c:strRef>
              <c:f>Sheet1!$A$8:$A$21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Sheet1!$B$8:$B$21</c:f>
              <c:numCache>
                <c:formatCode>General</c:formatCode>
                <c:ptCount val="13"/>
                <c:pt idx="0">
                  <c:v>114</c:v>
                </c:pt>
                <c:pt idx="1">
                  <c:v>191</c:v>
                </c:pt>
                <c:pt idx="2">
                  <c:v>111</c:v>
                </c:pt>
                <c:pt idx="3">
                  <c:v>114</c:v>
                </c:pt>
                <c:pt idx="4">
                  <c:v>197</c:v>
                </c:pt>
                <c:pt idx="5">
                  <c:v>345</c:v>
                </c:pt>
                <c:pt idx="6">
                  <c:v>245</c:v>
                </c:pt>
                <c:pt idx="7">
                  <c:v>191</c:v>
                </c:pt>
                <c:pt idx="8">
                  <c:v>211</c:v>
                </c:pt>
                <c:pt idx="9">
                  <c:v>170</c:v>
                </c:pt>
                <c:pt idx="10">
                  <c:v>100</c:v>
                </c:pt>
                <c:pt idx="11">
                  <c:v>144</c:v>
                </c:pt>
                <c:pt idx="12">
                  <c:v>107</c:v>
                </c:pt>
              </c:numCache>
            </c:numRef>
          </c:val>
          <c:smooth val="0"/>
          <c:extLst>
            <c:ext xmlns:c16="http://schemas.microsoft.com/office/drawing/2014/chart" uri="{C3380CC4-5D6E-409C-BE32-E72D297353CC}">
              <c16:uniqueId val="{00000000-0A58-435A-A1D3-AE896D240017}"/>
            </c:ext>
          </c:extLst>
        </c:ser>
        <c:dLbls>
          <c:showLegendKey val="0"/>
          <c:showVal val="0"/>
          <c:showCatName val="0"/>
          <c:showSerName val="0"/>
          <c:showPercent val="0"/>
          <c:showBubbleSize val="0"/>
        </c:dLbls>
        <c:marker val="1"/>
        <c:smooth val="0"/>
        <c:axId val="1264402448"/>
        <c:axId val="1034053904"/>
      </c:lineChart>
      <c:lineChart>
        <c:grouping val="standard"/>
        <c:varyColors val="0"/>
        <c:ser>
          <c:idx val="1"/>
          <c:order val="1"/>
          <c:tx>
            <c:strRef>
              <c:f>Sheet1!$C$7</c:f>
              <c:strCache>
                <c:ptCount val="1"/>
                <c:pt idx="0">
                  <c:v>Sum of Amount</c:v>
                </c:pt>
              </c:strCache>
            </c:strRef>
          </c:tx>
          <c:spPr>
            <a:ln w="28575" cap="rnd">
              <a:solidFill>
                <a:schemeClr val="accent2"/>
              </a:solidFill>
              <a:round/>
            </a:ln>
            <a:effectLst/>
          </c:spPr>
          <c:marker>
            <c:symbol val="none"/>
          </c:marker>
          <c:cat>
            <c:strRef>
              <c:f>Sheet1!$A$8:$A$21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Sheet1!$C$8:$C$21</c:f>
              <c:numCache>
                <c:formatCode>"$"#,##0.0</c:formatCode>
                <c:ptCount val="13"/>
                <c:pt idx="0">
                  <c:v>6864.1</c:v>
                </c:pt>
                <c:pt idx="1">
                  <c:v>12839.000000000002</c:v>
                </c:pt>
                <c:pt idx="2">
                  <c:v>5635.2</c:v>
                </c:pt>
                <c:pt idx="3">
                  <c:v>6687.1</c:v>
                </c:pt>
                <c:pt idx="4">
                  <c:v>10485.699999999999</c:v>
                </c:pt>
                <c:pt idx="5">
                  <c:v>16762.299999999996</c:v>
                </c:pt>
                <c:pt idx="6">
                  <c:v>11681.299999999997</c:v>
                </c:pt>
                <c:pt idx="7">
                  <c:v>9424</c:v>
                </c:pt>
                <c:pt idx="8">
                  <c:v>10219.300000000001</c:v>
                </c:pt>
                <c:pt idx="9">
                  <c:v>9693.5999999999985</c:v>
                </c:pt>
                <c:pt idx="10">
                  <c:v>5402.7999999999993</c:v>
                </c:pt>
                <c:pt idx="11">
                  <c:v>10369.700000000001</c:v>
                </c:pt>
                <c:pt idx="12">
                  <c:v>7001.9000000000005</c:v>
                </c:pt>
              </c:numCache>
            </c:numRef>
          </c:val>
          <c:smooth val="0"/>
          <c:extLst>
            <c:ext xmlns:c16="http://schemas.microsoft.com/office/drawing/2014/chart" uri="{C3380CC4-5D6E-409C-BE32-E72D297353CC}">
              <c16:uniqueId val="{00000001-0A58-435A-A1D3-AE896D240017}"/>
            </c:ext>
          </c:extLst>
        </c:ser>
        <c:dLbls>
          <c:showLegendKey val="0"/>
          <c:showVal val="0"/>
          <c:showCatName val="0"/>
          <c:showSerName val="0"/>
          <c:showPercent val="0"/>
          <c:showBubbleSize val="0"/>
        </c:dLbls>
        <c:marker val="1"/>
        <c:smooth val="0"/>
        <c:axId val="1275119040"/>
        <c:axId val="504798576"/>
      </c:lineChart>
      <c:catAx>
        <c:axId val="126440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34053904"/>
        <c:crosses val="autoZero"/>
        <c:auto val="1"/>
        <c:lblAlgn val="ctr"/>
        <c:lblOffset val="100"/>
        <c:noMultiLvlLbl val="0"/>
      </c:catAx>
      <c:valAx>
        <c:axId val="103405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64402448"/>
        <c:crosses val="autoZero"/>
        <c:crossBetween val="between"/>
      </c:valAx>
      <c:valAx>
        <c:axId val="504798576"/>
        <c:scaling>
          <c:orientation val="minMax"/>
        </c:scaling>
        <c:delete val="0"/>
        <c:axPos val="r"/>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lgn="ctr" rtl="0">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crossAx val="1275119040"/>
        <c:crosses val="max"/>
        <c:crossBetween val="between"/>
      </c:valAx>
      <c:catAx>
        <c:axId val="1275119040"/>
        <c:scaling>
          <c:orientation val="minMax"/>
        </c:scaling>
        <c:delete val="1"/>
        <c:axPos val="b"/>
        <c:numFmt formatCode="General" sourceLinked="1"/>
        <c:majorTickMark val="out"/>
        <c:minorTickMark val="none"/>
        <c:tickLblPos val="nextTo"/>
        <c:crossAx val="50479857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[Excel_Project.xlsx]Sheet2!pvt.qty.purchased</c:name>
    <c:fmtId val="22"/>
  </c:pivotSource>
  <c:chart>
    <c:title>
      <c:tx>
        <c:rich>
          <a:bodyPr rot="0" spcFirstLastPara="1" vertOverflow="ellipsis" vert="horz" wrap="square" anchor="ctr" anchorCtr="1"/>
          <a:lstStyle/>
          <a:p>
            <a:pPr algn="ctr" rtl="0">
              <a:defRPr lang="en-US" sz="216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r>
              <a:rPr lang="en-US"/>
              <a:t>How many quantity the</a:t>
            </a:r>
            <a:r>
              <a:rPr lang="en-US" baseline="0"/>
              <a:t> customers</a:t>
            </a:r>
            <a:r>
              <a:rPr lang="en-US"/>
              <a:t> buy?</a:t>
            </a:r>
          </a:p>
        </c:rich>
      </c:tx>
      <c:layout>
        <c:manualLayout>
          <c:xMode val="edge"/>
          <c:yMode val="edge"/>
          <c:x val="0.24318443110009397"/>
          <c:y val="2.7219832970424553E-2"/>
        </c:manualLayout>
      </c:layout>
      <c:overlay val="0"/>
      <c:spPr>
        <a:noFill/>
        <a:ln>
          <a:noFill/>
        </a:ln>
        <a:effectLst/>
      </c:spPr>
      <c:txPr>
        <a:bodyPr rot="0" spcFirstLastPara="1" vertOverflow="ellipsis" vert="horz" wrap="square" anchor="ctr" anchorCtr="1"/>
        <a:lstStyle/>
        <a:p>
          <a:pPr algn="ctr" rtl="0">
            <a:defRPr lang="en-US" sz="216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77565923898751E-2"/>
          <c:y val="9.1539414170789715E-2"/>
          <c:w val="0.93055635065922826"/>
          <c:h val="0.81858691291327901"/>
        </c:manualLayout>
      </c:layout>
      <c:barChart>
        <c:barDir val="col"/>
        <c:grouping val="clustered"/>
        <c:varyColors val="0"/>
        <c:ser>
          <c:idx val="0"/>
          <c:order val="0"/>
          <c:tx>
            <c:strRef>
              <c:f>Sheet2!$C$16</c:f>
              <c:strCache>
                <c:ptCount val="1"/>
                <c:pt idx="0">
                  <c:v>Total</c:v>
                </c:pt>
              </c:strCache>
            </c:strRef>
          </c:tx>
          <c:spPr>
            <a:solidFill>
              <a:schemeClr val="tx2">
                <a:lumMod val="75000"/>
                <a:lumOff val="25000"/>
              </a:schemeClr>
            </a:solidFill>
            <a:ln>
              <a:noFill/>
            </a:ln>
            <a:effectLst/>
          </c:spPr>
          <c:invertIfNegative val="0"/>
          <c:cat>
            <c:strRef>
              <c:f>Sheet2!$B$17:$B$24</c:f>
              <c:strCache>
                <c:ptCount val="7"/>
                <c:pt idx="0">
                  <c:v>1</c:v>
                </c:pt>
                <c:pt idx="1">
                  <c:v>2</c:v>
                </c:pt>
                <c:pt idx="2">
                  <c:v>3</c:v>
                </c:pt>
                <c:pt idx="3">
                  <c:v>4</c:v>
                </c:pt>
                <c:pt idx="4">
                  <c:v>5</c:v>
                </c:pt>
                <c:pt idx="5">
                  <c:v>6 TO 10</c:v>
                </c:pt>
                <c:pt idx="6">
                  <c:v>MORE THAN 10</c:v>
                </c:pt>
              </c:strCache>
            </c:strRef>
          </c:cat>
          <c:val>
            <c:numRef>
              <c:f>Sheet2!$C$17:$C$24</c:f>
              <c:numCache>
                <c:formatCode>General</c:formatCode>
                <c:ptCount val="7"/>
                <c:pt idx="0">
                  <c:v>84</c:v>
                </c:pt>
                <c:pt idx="1">
                  <c:v>93</c:v>
                </c:pt>
                <c:pt idx="2">
                  <c:v>67</c:v>
                </c:pt>
                <c:pt idx="3">
                  <c:v>47</c:v>
                </c:pt>
                <c:pt idx="4">
                  <c:v>41</c:v>
                </c:pt>
                <c:pt idx="5">
                  <c:v>80</c:v>
                </c:pt>
                <c:pt idx="6">
                  <c:v>44</c:v>
                </c:pt>
              </c:numCache>
            </c:numRef>
          </c:val>
          <c:extLst>
            <c:ext xmlns:c16="http://schemas.microsoft.com/office/drawing/2014/chart" uri="{C3380CC4-5D6E-409C-BE32-E72D297353CC}">
              <c16:uniqueId val="{00000000-203F-42E3-ADF2-A8C38170DB35}"/>
            </c:ext>
          </c:extLst>
        </c:ser>
        <c:dLbls>
          <c:showLegendKey val="0"/>
          <c:showVal val="0"/>
          <c:showCatName val="0"/>
          <c:showSerName val="0"/>
          <c:showPercent val="0"/>
          <c:showBubbleSize val="0"/>
        </c:dLbls>
        <c:gapWidth val="50"/>
        <c:axId val="992065232"/>
        <c:axId val="1343978064"/>
      </c:barChart>
      <c:catAx>
        <c:axId val="99206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crossAx val="1343978064"/>
        <c:crosses val="autoZero"/>
        <c:auto val="1"/>
        <c:lblAlgn val="ctr"/>
        <c:lblOffset val="100"/>
        <c:noMultiLvlLbl val="0"/>
      </c:catAx>
      <c:valAx>
        <c:axId val="134397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crossAx val="99206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[Excel_Project.xlsx]Sheet2!PivotTable13</c:name>
    <c:fmtId val="27"/>
  </c:pivotSource>
  <c:chart>
    <c:title>
      <c:tx>
        <c:rich>
          <a:bodyPr rot="0" spcFirstLastPara="1" vertOverflow="ellipsis" vert="horz" wrap="square" anchor="ctr" anchorCtr="1"/>
          <a:lstStyle/>
          <a:p>
            <a:pPr algn="ctr" rtl="0">
              <a:defRPr lang="en-US" sz="216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r>
              <a:rPr lang="en-US"/>
              <a:t>How long we take to ship the orders? </a:t>
            </a:r>
          </a:p>
        </c:rich>
      </c:tx>
      <c:overlay val="0"/>
      <c:spPr>
        <a:noFill/>
        <a:ln>
          <a:noFill/>
        </a:ln>
        <a:effectLst/>
      </c:spPr>
      <c:txPr>
        <a:bodyPr rot="0" spcFirstLastPara="1" vertOverflow="ellipsis" vert="horz" wrap="square" anchor="ctr" anchorCtr="1"/>
        <a:lstStyle/>
        <a:p>
          <a:pPr algn="ctr" rtl="0">
            <a:defRPr lang="en-US" sz="216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Sheet2!$C$35</c:f>
              <c:strCache>
                <c:ptCount val="1"/>
                <c:pt idx="0">
                  <c:v>Total</c:v>
                </c:pt>
              </c:strCache>
            </c:strRef>
          </c:tx>
          <c:spPr>
            <a:solidFill>
              <a:schemeClr val="tx2">
                <a:lumMod val="75000"/>
                <a:lumOff val="25000"/>
              </a:schemeClr>
            </a:solidFill>
            <a:ln>
              <a:noFill/>
            </a:ln>
            <a:effectLst/>
          </c:spPr>
          <c:invertIfNegative val="0"/>
          <c:cat>
            <c:strRef>
              <c:f>Sheet2!$B$36:$B$51</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Sheet2!$C$36:$C$51</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25C8-4076-BE0E-B9DFF27B7451}"/>
            </c:ext>
          </c:extLst>
        </c:ser>
        <c:dLbls>
          <c:showLegendKey val="0"/>
          <c:showVal val="0"/>
          <c:showCatName val="0"/>
          <c:showSerName val="0"/>
          <c:showPercent val="0"/>
          <c:showBubbleSize val="0"/>
        </c:dLbls>
        <c:gapWidth val="40"/>
        <c:overlap val="-27"/>
        <c:axId val="1428808944"/>
        <c:axId val="1343840304"/>
      </c:barChart>
      <c:catAx>
        <c:axId val="142880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crossAx val="1343840304"/>
        <c:crosses val="autoZero"/>
        <c:auto val="1"/>
        <c:lblAlgn val="ctr"/>
        <c:lblOffset val="100"/>
        <c:noMultiLvlLbl val="0"/>
      </c:catAx>
      <c:valAx>
        <c:axId val="134384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crossAx val="142880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[Excel_Project.xlsx]Sheet2!pvt.days.to.deliver</c:name>
    <c:fmtId val="33"/>
  </c:pivotSource>
  <c:chart>
    <c:title>
      <c:tx>
        <c:rich>
          <a:bodyPr rot="0" spcFirstLastPara="1" vertOverflow="ellipsis" vert="horz" wrap="square" anchor="ctr" anchorCtr="1"/>
          <a:lstStyle/>
          <a:p>
            <a:pPr>
              <a:defRPr lang="en-US" sz="216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r>
              <a:rPr lang="en-US"/>
              <a:t>How happy are our customers (evaluating based on ratings) </a:t>
            </a:r>
          </a:p>
        </c:rich>
      </c:tx>
      <c:layout>
        <c:manualLayout>
          <c:xMode val="edge"/>
          <c:yMode val="edge"/>
          <c:x val="0.20995614089655135"/>
          <c:y val="2.5481470631978091E-2"/>
        </c:manualLayout>
      </c:layout>
      <c:overlay val="0"/>
      <c:spPr>
        <a:noFill/>
        <a:ln>
          <a:noFill/>
        </a:ln>
        <a:effectLst/>
      </c:spPr>
      <c:txPr>
        <a:bodyPr rot="0" spcFirstLastPara="1" vertOverflow="ellipsis" vert="horz" wrap="square" anchor="ctr" anchorCtr="1"/>
        <a:lstStyle/>
        <a:p>
          <a:pPr>
            <a:defRPr lang="en-US" sz="216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37792756896285E-2"/>
          <c:y val="0.12163188755247713"/>
          <c:w val="0.89962679163913739"/>
          <c:h val="0.82401570922632383"/>
        </c:manualLayout>
      </c:layout>
      <c:barChart>
        <c:barDir val="col"/>
        <c:grouping val="clustered"/>
        <c:varyColors val="0"/>
        <c:ser>
          <c:idx val="0"/>
          <c:order val="0"/>
          <c:tx>
            <c:strRef>
              <c:f>Sheet2!$C$58:$C$59</c:f>
              <c:strCache>
                <c:ptCount val="1"/>
                <c:pt idx="0">
                  <c:v>1</c:v>
                </c:pt>
              </c:strCache>
            </c:strRef>
          </c:tx>
          <c:spPr>
            <a:solidFill>
              <a:schemeClr val="accent1"/>
            </a:solidFill>
            <a:ln>
              <a:noFill/>
            </a:ln>
            <a:effectLst/>
          </c:spPr>
          <c:invertIfNegative val="0"/>
          <c:cat>
            <c:strRef>
              <c:f>Sheet2!$B$60:$B$63</c:f>
              <c:strCache>
                <c:ptCount val="3"/>
                <c:pt idx="0">
                  <c:v>Jan</c:v>
                </c:pt>
                <c:pt idx="1">
                  <c:v>Feb</c:v>
                </c:pt>
                <c:pt idx="2">
                  <c:v>Mar</c:v>
                </c:pt>
              </c:strCache>
            </c:strRef>
          </c:cat>
          <c:val>
            <c:numRef>
              <c:f>Sheet2!$C$60:$C$63</c:f>
              <c:numCache>
                <c:formatCode>General</c:formatCode>
                <c:ptCount val="3"/>
                <c:pt idx="0">
                  <c:v>2</c:v>
                </c:pt>
                <c:pt idx="1">
                  <c:v>4</c:v>
                </c:pt>
                <c:pt idx="2">
                  <c:v>1</c:v>
                </c:pt>
              </c:numCache>
            </c:numRef>
          </c:val>
          <c:extLst>
            <c:ext xmlns:c16="http://schemas.microsoft.com/office/drawing/2014/chart" uri="{C3380CC4-5D6E-409C-BE32-E72D297353CC}">
              <c16:uniqueId val="{00000000-296E-4E6D-9B1E-838782682D4F}"/>
            </c:ext>
          </c:extLst>
        </c:ser>
        <c:ser>
          <c:idx val="1"/>
          <c:order val="1"/>
          <c:tx>
            <c:strRef>
              <c:f>Sheet2!$D$58:$D$59</c:f>
              <c:strCache>
                <c:ptCount val="1"/>
                <c:pt idx="0">
                  <c:v>2</c:v>
                </c:pt>
              </c:strCache>
            </c:strRef>
          </c:tx>
          <c:spPr>
            <a:solidFill>
              <a:schemeClr val="accent2"/>
            </a:solidFill>
            <a:ln>
              <a:noFill/>
            </a:ln>
            <a:effectLst/>
          </c:spPr>
          <c:invertIfNegative val="0"/>
          <c:cat>
            <c:strRef>
              <c:f>Sheet2!$B$60:$B$63</c:f>
              <c:strCache>
                <c:ptCount val="3"/>
                <c:pt idx="0">
                  <c:v>Jan</c:v>
                </c:pt>
                <c:pt idx="1">
                  <c:v>Feb</c:v>
                </c:pt>
                <c:pt idx="2">
                  <c:v>Mar</c:v>
                </c:pt>
              </c:strCache>
            </c:strRef>
          </c:cat>
          <c:val>
            <c:numRef>
              <c:f>Sheet2!$D$60:$D$63</c:f>
              <c:numCache>
                <c:formatCode>General</c:formatCode>
                <c:ptCount val="3"/>
                <c:pt idx="0">
                  <c:v>10</c:v>
                </c:pt>
                <c:pt idx="1">
                  <c:v>14</c:v>
                </c:pt>
                <c:pt idx="2">
                  <c:v>12</c:v>
                </c:pt>
              </c:numCache>
            </c:numRef>
          </c:val>
          <c:extLst>
            <c:ext xmlns:c16="http://schemas.microsoft.com/office/drawing/2014/chart" uri="{C3380CC4-5D6E-409C-BE32-E72D297353CC}">
              <c16:uniqueId val="{00000001-296E-4E6D-9B1E-838782682D4F}"/>
            </c:ext>
          </c:extLst>
        </c:ser>
        <c:ser>
          <c:idx val="2"/>
          <c:order val="2"/>
          <c:tx>
            <c:strRef>
              <c:f>Sheet2!$E$58:$E$59</c:f>
              <c:strCache>
                <c:ptCount val="1"/>
                <c:pt idx="0">
                  <c:v>3</c:v>
                </c:pt>
              </c:strCache>
            </c:strRef>
          </c:tx>
          <c:spPr>
            <a:solidFill>
              <a:schemeClr val="accent3"/>
            </a:solidFill>
            <a:ln>
              <a:noFill/>
            </a:ln>
            <a:effectLst/>
          </c:spPr>
          <c:invertIfNegative val="0"/>
          <c:cat>
            <c:strRef>
              <c:f>Sheet2!$B$60:$B$63</c:f>
              <c:strCache>
                <c:ptCount val="3"/>
                <c:pt idx="0">
                  <c:v>Jan</c:v>
                </c:pt>
                <c:pt idx="1">
                  <c:v>Feb</c:v>
                </c:pt>
                <c:pt idx="2">
                  <c:v>Mar</c:v>
                </c:pt>
              </c:strCache>
            </c:strRef>
          </c:cat>
          <c:val>
            <c:numRef>
              <c:f>Sheet2!$E$60:$E$63</c:f>
              <c:numCache>
                <c:formatCode>General</c:formatCode>
                <c:ptCount val="3"/>
                <c:pt idx="0">
                  <c:v>66</c:v>
                </c:pt>
                <c:pt idx="1">
                  <c:v>123</c:v>
                </c:pt>
                <c:pt idx="2">
                  <c:v>81</c:v>
                </c:pt>
              </c:numCache>
            </c:numRef>
          </c:val>
          <c:extLst>
            <c:ext xmlns:c16="http://schemas.microsoft.com/office/drawing/2014/chart" uri="{C3380CC4-5D6E-409C-BE32-E72D297353CC}">
              <c16:uniqueId val="{00000002-296E-4E6D-9B1E-838782682D4F}"/>
            </c:ext>
          </c:extLst>
        </c:ser>
        <c:ser>
          <c:idx val="3"/>
          <c:order val="3"/>
          <c:tx>
            <c:strRef>
              <c:f>Sheet2!$F$58:$F$59</c:f>
              <c:strCache>
                <c:ptCount val="1"/>
                <c:pt idx="0">
                  <c:v>4</c:v>
                </c:pt>
              </c:strCache>
            </c:strRef>
          </c:tx>
          <c:spPr>
            <a:solidFill>
              <a:schemeClr val="accent4"/>
            </a:solidFill>
            <a:ln>
              <a:noFill/>
            </a:ln>
            <a:effectLst/>
          </c:spPr>
          <c:invertIfNegative val="0"/>
          <c:cat>
            <c:strRef>
              <c:f>Sheet2!$B$60:$B$63</c:f>
              <c:strCache>
                <c:ptCount val="3"/>
                <c:pt idx="0">
                  <c:v>Jan</c:v>
                </c:pt>
                <c:pt idx="1">
                  <c:v>Feb</c:v>
                </c:pt>
                <c:pt idx="2">
                  <c:v>Mar</c:v>
                </c:pt>
              </c:strCache>
            </c:strRef>
          </c:cat>
          <c:val>
            <c:numRef>
              <c:f>Sheet2!$F$60:$F$63</c:f>
              <c:numCache>
                <c:formatCode>General</c:formatCode>
                <c:ptCount val="3"/>
                <c:pt idx="0">
                  <c:v>216</c:v>
                </c:pt>
                <c:pt idx="1">
                  <c:v>364</c:v>
                </c:pt>
                <c:pt idx="2">
                  <c:v>260</c:v>
                </c:pt>
              </c:numCache>
            </c:numRef>
          </c:val>
          <c:extLst>
            <c:ext xmlns:c16="http://schemas.microsoft.com/office/drawing/2014/chart" uri="{C3380CC4-5D6E-409C-BE32-E72D297353CC}">
              <c16:uniqueId val="{00000001-1D5D-4248-9B5B-50076B05CF02}"/>
            </c:ext>
          </c:extLst>
        </c:ser>
        <c:ser>
          <c:idx val="4"/>
          <c:order val="4"/>
          <c:tx>
            <c:strRef>
              <c:f>Sheet2!$G$58:$G$59</c:f>
              <c:strCache>
                <c:ptCount val="1"/>
                <c:pt idx="0">
                  <c:v>5</c:v>
                </c:pt>
              </c:strCache>
            </c:strRef>
          </c:tx>
          <c:spPr>
            <a:solidFill>
              <a:schemeClr val="accent5"/>
            </a:solidFill>
            <a:ln>
              <a:noFill/>
            </a:ln>
            <a:effectLst/>
          </c:spPr>
          <c:invertIfNegative val="0"/>
          <c:cat>
            <c:strRef>
              <c:f>Sheet2!$B$60:$B$63</c:f>
              <c:strCache>
                <c:ptCount val="3"/>
                <c:pt idx="0">
                  <c:v>Jan</c:v>
                </c:pt>
                <c:pt idx="1">
                  <c:v>Feb</c:v>
                </c:pt>
                <c:pt idx="2">
                  <c:v>Mar</c:v>
                </c:pt>
              </c:strCache>
            </c:strRef>
          </c:cat>
          <c:val>
            <c:numRef>
              <c:f>Sheet2!$G$60:$G$63</c:f>
              <c:numCache>
                <c:formatCode>General</c:formatCode>
                <c:ptCount val="3"/>
                <c:pt idx="0">
                  <c:v>240</c:v>
                </c:pt>
                <c:pt idx="1">
                  <c:v>205</c:v>
                </c:pt>
                <c:pt idx="2">
                  <c:v>210</c:v>
                </c:pt>
              </c:numCache>
            </c:numRef>
          </c:val>
          <c:extLst>
            <c:ext xmlns:c16="http://schemas.microsoft.com/office/drawing/2014/chart" uri="{C3380CC4-5D6E-409C-BE32-E72D297353CC}">
              <c16:uniqueId val="{00000005-1D5D-4248-9B5B-50076B05CF02}"/>
            </c:ext>
          </c:extLst>
        </c:ser>
        <c:dLbls>
          <c:showLegendKey val="0"/>
          <c:showVal val="0"/>
          <c:showCatName val="0"/>
          <c:showSerName val="0"/>
          <c:showPercent val="0"/>
          <c:showBubbleSize val="0"/>
        </c:dLbls>
        <c:gapWidth val="60"/>
        <c:overlap val="-27"/>
        <c:axId val="1314944176"/>
        <c:axId val="1343989584"/>
      </c:barChart>
      <c:catAx>
        <c:axId val="131494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crossAx val="1343989584"/>
        <c:crosses val="autoZero"/>
        <c:auto val="1"/>
        <c:lblAlgn val="ctr"/>
        <c:lblOffset val="100"/>
        <c:noMultiLvlLbl val="0"/>
      </c:catAx>
      <c:valAx>
        <c:axId val="13439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crossAx val="1314944176"/>
        <c:crosses val="autoZero"/>
        <c:crossBetween val="between"/>
      </c:valAx>
      <c:spPr>
        <a:noFill/>
        <a:ln>
          <a:noFill/>
        </a:ln>
        <a:effectLst/>
      </c:spPr>
    </c:plotArea>
    <c:legend>
      <c:legendPos val="t"/>
      <c:layout>
        <c:manualLayout>
          <c:xMode val="edge"/>
          <c:yMode val="edge"/>
          <c:x val="0.42862770706204906"/>
          <c:y val="6.9819229531619967E-2"/>
          <c:w val="0.17021405374355886"/>
          <c:h val="3.8889321862378284E-2"/>
        </c:manualLayout>
      </c:layout>
      <c:overlay val="0"/>
      <c:spPr>
        <a:noFill/>
        <a:ln>
          <a:noFill/>
        </a:ln>
        <a:effectLst/>
      </c:spPr>
      <c:txPr>
        <a:bodyPr rot="0" spcFirstLastPara="1" vertOverflow="ellipsis" vert="horz" wrap="square" anchor="ctr" anchorCtr="1"/>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[Excel_Project.xlsx]Sheet2!pvt.most.ordered</c:name>
    <c:fmtId val="33"/>
  </c:pivotSource>
  <c:chart>
    <c:title>
      <c:tx>
        <c:rich>
          <a:bodyPr rot="0" spcFirstLastPara="1" vertOverflow="ellipsis" vert="horz" wrap="square" anchor="ctr" anchorCtr="1"/>
          <a:lstStyle/>
          <a:p>
            <a:pPr algn="ctr" rtl="0">
              <a:defRPr lang="en-US" sz="216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r>
              <a:rPr lang="en-US"/>
              <a:t>Which products are popular?  </a:t>
            </a:r>
          </a:p>
        </c:rich>
      </c:tx>
      <c:layout>
        <c:manualLayout>
          <c:xMode val="edge"/>
          <c:yMode val="edge"/>
          <c:x val="0.36626551535280116"/>
          <c:y val="3.1974135212389371E-2"/>
        </c:manualLayout>
      </c:layout>
      <c:overlay val="0"/>
      <c:spPr>
        <a:noFill/>
        <a:ln>
          <a:noFill/>
        </a:ln>
        <a:effectLst/>
      </c:spPr>
      <c:txPr>
        <a:bodyPr rot="0" spcFirstLastPara="1" vertOverflow="ellipsis" vert="horz" wrap="square" anchor="ctr" anchorCtr="1"/>
        <a:lstStyle/>
        <a:p>
          <a:pPr algn="ctr" rtl="0">
            <a:defRPr lang="en-US" sz="216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45177410979068"/>
          <c:y val="0.14459588403886417"/>
          <c:w val="0.8100977202550198"/>
          <c:h val="0.83177105949980445"/>
        </c:manualLayout>
      </c:layout>
      <c:barChart>
        <c:barDir val="bar"/>
        <c:grouping val="stacked"/>
        <c:varyColors val="0"/>
        <c:ser>
          <c:idx val="0"/>
          <c:order val="0"/>
          <c:tx>
            <c:strRef>
              <c:f>Sheet2!$G$27:$G$28</c:f>
              <c:strCache>
                <c:ptCount val="1"/>
                <c:pt idx="0">
                  <c:v>Female</c:v>
                </c:pt>
              </c:strCache>
            </c:strRef>
          </c:tx>
          <c:spPr>
            <a:solidFill>
              <a:schemeClr val="tx2">
                <a:lumMod val="75000"/>
                <a:lumOff val="25000"/>
              </a:schemeClr>
            </a:solidFill>
            <a:ln>
              <a:noFill/>
            </a:ln>
            <a:effectLst/>
          </c:spPr>
          <c:invertIfNegative val="0"/>
          <c:cat>
            <c:strRef>
              <c:f>Sheet2!$F$29:$F$49</c:f>
              <c:strCache>
                <c:ptCount val="20"/>
                <c:pt idx="0">
                  <c:v>Jeans</c:v>
                </c:pt>
                <c:pt idx="1">
                  <c:v>Sneakers</c:v>
                </c:pt>
                <c:pt idx="2">
                  <c:v>T-Shirts</c:v>
                </c:pt>
                <c:pt idx="3">
                  <c:v>Tank Tops</c:v>
                </c:pt>
                <c:pt idx="4">
                  <c:v>Sundresses</c:v>
                </c:pt>
                <c:pt idx="5">
                  <c:v>Shorts</c:v>
                </c:pt>
                <c:pt idx="6">
                  <c:v>Graphic Tees</c:v>
                </c:pt>
                <c:pt idx="7">
                  <c:v>Bikinis</c:v>
                </c:pt>
                <c:pt idx="8">
                  <c:v>Sandals</c:v>
                </c:pt>
                <c:pt idx="9">
                  <c:v>Hoodies &amp; Sweatshirts</c:v>
                </c:pt>
                <c:pt idx="10">
                  <c:v>Casual Dresses</c:v>
                </c:pt>
                <c:pt idx="11">
                  <c:v>Leggings</c:v>
                </c:pt>
                <c:pt idx="12">
                  <c:v>Crop Tops</c:v>
                </c:pt>
                <c:pt idx="13">
                  <c:v>Workout Tops</c:v>
                </c:pt>
                <c:pt idx="14">
                  <c:v>Maxi Dresses</c:v>
                </c:pt>
                <c:pt idx="15">
                  <c:v>Sunglasses</c:v>
                </c:pt>
                <c:pt idx="16">
                  <c:v>Tote Bags</c:v>
                </c:pt>
                <c:pt idx="17">
                  <c:v>Pajama Sets</c:v>
                </c:pt>
                <c:pt idx="18">
                  <c:v>Baseball Caps</c:v>
                </c:pt>
                <c:pt idx="19">
                  <c:v>Jewelry</c:v>
                </c:pt>
              </c:strCache>
            </c:strRef>
          </c:cat>
          <c:val>
            <c:numRef>
              <c:f>Sheet2!$G$29:$G$49</c:f>
              <c:numCache>
                <c:formatCode>General</c:formatCode>
                <c:ptCount val="20"/>
                <c:pt idx="0">
                  <c:v>318</c:v>
                </c:pt>
                <c:pt idx="1">
                  <c:v>266</c:v>
                </c:pt>
                <c:pt idx="2">
                  <c:v>240</c:v>
                </c:pt>
                <c:pt idx="3">
                  <c:v>192</c:v>
                </c:pt>
                <c:pt idx="4">
                  <c:v>164</c:v>
                </c:pt>
                <c:pt idx="5">
                  <c:v>163</c:v>
                </c:pt>
                <c:pt idx="6">
                  <c:v>152</c:v>
                </c:pt>
                <c:pt idx="7">
                  <c:v>152</c:v>
                </c:pt>
                <c:pt idx="8">
                  <c:v>116</c:v>
                </c:pt>
                <c:pt idx="9">
                  <c:v>96</c:v>
                </c:pt>
                <c:pt idx="10">
                  <c:v>84</c:v>
                </c:pt>
                <c:pt idx="11">
                  <c:v>72</c:v>
                </c:pt>
                <c:pt idx="12">
                  <c:v>61</c:v>
                </c:pt>
                <c:pt idx="13">
                  <c:v>39</c:v>
                </c:pt>
                <c:pt idx="14">
                  <c:v>37</c:v>
                </c:pt>
                <c:pt idx="15">
                  <c:v>35</c:v>
                </c:pt>
                <c:pt idx="16">
                  <c:v>22</c:v>
                </c:pt>
                <c:pt idx="17">
                  <c:v>17</c:v>
                </c:pt>
                <c:pt idx="18">
                  <c:v>11</c:v>
                </c:pt>
                <c:pt idx="19">
                  <c:v>3</c:v>
                </c:pt>
              </c:numCache>
            </c:numRef>
          </c:val>
          <c:extLst>
            <c:ext xmlns:c16="http://schemas.microsoft.com/office/drawing/2014/chart" uri="{C3380CC4-5D6E-409C-BE32-E72D297353CC}">
              <c16:uniqueId val="{00000000-1DC5-4625-B805-8639AEB146AF}"/>
            </c:ext>
          </c:extLst>
        </c:ser>
        <c:dLbls>
          <c:showLegendKey val="0"/>
          <c:showVal val="0"/>
          <c:showCatName val="0"/>
          <c:showSerName val="0"/>
          <c:showPercent val="0"/>
          <c:showBubbleSize val="0"/>
        </c:dLbls>
        <c:gapWidth val="56"/>
        <c:overlap val="100"/>
        <c:axId val="1503366640"/>
        <c:axId val="1343908464"/>
      </c:barChart>
      <c:catAx>
        <c:axId val="1503366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crossAx val="1343908464"/>
        <c:crosses val="autoZero"/>
        <c:auto val="1"/>
        <c:lblAlgn val="ctr"/>
        <c:lblOffset val="100"/>
        <c:noMultiLvlLbl val="0"/>
      </c:catAx>
      <c:valAx>
        <c:axId val="134390846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crossAx val="1503366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[Excel_Project.xlsx]Sheet2!pvt.most.ordered.genderbased</c:name>
    <c:fmtId val="3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6.1038012578021335E-2"/>
          <c:y val="0.10955021178080812"/>
          <c:w val="0.78096972113361474"/>
          <c:h val="0.80002116324675843"/>
        </c:manualLayout>
      </c:layout>
      <c:doughnutChart>
        <c:varyColors val="1"/>
        <c:ser>
          <c:idx val="0"/>
          <c:order val="0"/>
          <c:tx>
            <c:strRef>
              <c:f>Sheet2!$G$16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61-49EF-9870-63417ADB6A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61-49EF-9870-63417ADB6A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61-49EF-9870-63417ADB6A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61-49EF-9870-63417ADB6A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Sheet2!$F$17:$F$18</c:f>
              <c:strCache>
                <c:ptCount val="1"/>
                <c:pt idx="0">
                  <c:v>Female</c:v>
                </c:pt>
              </c:strCache>
            </c:strRef>
          </c:cat>
          <c:val>
            <c:numRef>
              <c:f>Sheet2!$G$17:$G$18</c:f>
              <c:numCache>
                <c:formatCode>General</c:formatCode>
                <c:ptCount val="1"/>
                <c:pt idx="0">
                  <c:v>123066.00000000009</c:v>
                </c:pt>
              </c:numCache>
            </c:numRef>
          </c:val>
          <c:extLst>
            <c:ext xmlns:c16="http://schemas.microsoft.com/office/drawing/2014/chart" uri="{C3380CC4-5D6E-409C-BE32-E72D297353CC}">
              <c16:uniqueId val="{00000008-4361-49EF-9870-63417ADB6AB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[Excel_Project.xlsx]Sheet2!pvt.qty.purchased</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Sheet2!$C$16</c:f>
              <c:strCache>
                <c:ptCount val="1"/>
                <c:pt idx="0">
                  <c:v>Total</c:v>
                </c:pt>
              </c:strCache>
            </c:strRef>
          </c:tx>
          <c:spPr>
            <a:solidFill>
              <a:schemeClr val="accent1"/>
            </a:solidFill>
            <a:ln>
              <a:noFill/>
            </a:ln>
            <a:effectLst/>
          </c:spPr>
          <c:invertIfNegative val="0"/>
          <c:cat>
            <c:strRef>
              <c:f>Sheet2!$B$17:$B$24</c:f>
              <c:strCache>
                <c:ptCount val="7"/>
                <c:pt idx="0">
                  <c:v>1</c:v>
                </c:pt>
                <c:pt idx="1">
                  <c:v>2</c:v>
                </c:pt>
                <c:pt idx="2">
                  <c:v>3</c:v>
                </c:pt>
                <c:pt idx="3">
                  <c:v>4</c:v>
                </c:pt>
                <c:pt idx="4">
                  <c:v>5</c:v>
                </c:pt>
                <c:pt idx="5">
                  <c:v>6 TO 10</c:v>
                </c:pt>
                <c:pt idx="6">
                  <c:v>MORE THAN 10</c:v>
                </c:pt>
              </c:strCache>
            </c:strRef>
          </c:cat>
          <c:val>
            <c:numRef>
              <c:f>Sheet2!$C$17:$C$24</c:f>
              <c:numCache>
                <c:formatCode>General</c:formatCode>
                <c:ptCount val="7"/>
                <c:pt idx="0">
                  <c:v>84</c:v>
                </c:pt>
                <c:pt idx="1">
                  <c:v>93</c:v>
                </c:pt>
                <c:pt idx="2">
                  <c:v>67</c:v>
                </c:pt>
                <c:pt idx="3">
                  <c:v>47</c:v>
                </c:pt>
                <c:pt idx="4">
                  <c:v>41</c:v>
                </c:pt>
                <c:pt idx="5">
                  <c:v>80</c:v>
                </c:pt>
                <c:pt idx="6">
                  <c:v>44</c:v>
                </c:pt>
              </c:numCache>
            </c:numRef>
          </c:val>
          <c:extLst>
            <c:ext xmlns:c16="http://schemas.microsoft.com/office/drawing/2014/chart" uri="{C3380CC4-5D6E-409C-BE32-E72D297353CC}">
              <c16:uniqueId val="{00000000-C1A0-491E-92CC-6475FB235F26}"/>
            </c:ext>
          </c:extLst>
        </c:ser>
        <c:dLbls>
          <c:showLegendKey val="0"/>
          <c:showVal val="0"/>
          <c:showCatName val="0"/>
          <c:showSerName val="0"/>
          <c:showPercent val="0"/>
          <c:showBubbleSize val="0"/>
        </c:dLbls>
        <c:gapWidth val="219"/>
        <c:overlap val="-27"/>
        <c:axId val="1313702688"/>
        <c:axId val="1343809584"/>
      </c:barChart>
      <c:catAx>
        <c:axId val="13137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809584"/>
        <c:crosses val="autoZero"/>
        <c:auto val="1"/>
        <c:lblAlgn val="ctr"/>
        <c:lblOffset val="100"/>
        <c:noMultiLvlLbl val="0"/>
      </c:catAx>
      <c:valAx>
        <c:axId val="134380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70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[Excel_Project.xlsx]Sheet2!pvt.qty.purchased</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Sheet2!$C$16</c:f>
              <c:strCache>
                <c:ptCount val="1"/>
                <c:pt idx="0">
                  <c:v>Total</c:v>
                </c:pt>
              </c:strCache>
            </c:strRef>
          </c:tx>
          <c:spPr>
            <a:solidFill>
              <a:schemeClr val="accent1"/>
            </a:solidFill>
            <a:ln>
              <a:noFill/>
            </a:ln>
            <a:effectLst/>
          </c:spPr>
          <c:invertIfNegative val="0"/>
          <c:cat>
            <c:strRef>
              <c:f>Sheet2!$B$17:$B$24</c:f>
              <c:strCache>
                <c:ptCount val="7"/>
                <c:pt idx="0">
                  <c:v>1</c:v>
                </c:pt>
                <c:pt idx="1">
                  <c:v>2</c:v>
                </c:pt>
                <c:pt idx="2">
                  <c:v>3</c:v>
                </c:pt>
                <c:pt idx="3">
                  <c:v>4</c:v>
                </c:pt>
                <c:pt idx="4">
                  <c:v>5</c:v>
                </c:pt>
                <c:pt idx="5">
                  <c:v>6 TO 10</c:v>
                </c:pt>
                <c:pt idx="6">
                  <c:v>MORE THAN 10</c:v>
                </c:pt>
              </c:strCache>
            </c:strRef>
          </c:cat>
          <c:val>
            <c:numRef>
              <c:f>Sheet2!$C$17:$C$24</c:f>
              <c:numCache>
                <c:formatCode>General</c:formatCode>
                <c:ptCount val="7"/>
                <c:pt idx="0">
                  <c:v>84</c:v>
                </c:pt>
                <c:pt idx="1">
                  <c:v>93</c:v>
                </c:pt>
                <c:pt idx="2">
                  <c:v>67</c:v>
                </c:pt>
                <c:pt idx="3">
                  <c:v>47</c:v>
                </c:pt>
                <c:pt idx="4">
                  <c:v>41</c:v>
                </c:pt>
                <c:pt idx="5">
                  <c:v>80</c:v>
                </c:pt>
                <c:pt idx="6">
                  <c:v>44</c:v>
                </c:pt>
              </c:numCache>
            </c:numRef>
          </c:val>
          <c:extLst>
            <c:ext xmlns:c16="http://schemas.microsoft.com/office/drawing/2014/chart" uri="{C3380CC4-5D6E-409C-BE32-E72D297353CC}">
              <c16:uniqueId val="{00000000-2260-45D6-83F8-5032D1E21880}"/>
            </c:ext>
          </c:extLst>
        </c:ser>
        <c:dLbls>
          <c:showLegendKey val="0"/>
          <c:showVal val="0"/>
          <c:showCatName val="0"/>
          <c:showSerName val="0"/>
          <c:showPercent val="0"/>
          <c:showBubbleSize val="0"/>
        </c:dLbls>
        <c:gapWidth val="219"/>
        <c:overlap val="-27"/>
        <c:axId val="992065232"/>
        <c:axId val="1343978064"/>
      </c:barChart>
      <c:catAx>
        <c:axId val="99206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978064"/>
        <c:crosses val="autoZero"/>
        <c:auto val="1"/>
        <c:lblAlgn val="ctr"/>
        <c:lblOffset val="100"/>
        <c:noMultiLvlLbl val="0"/>
      </c:catAx>
      <c:valAx>
        <c:axId val="134397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Where do our customers live? </cx:v>
        </cx:txData>
      </cx:tx>
      <cx:txPr>
        <a:bodyPr spcFirstLastPara="1" vertOverflow="ellipsis" horzOverflow="overflow" wrap="square" lIns="0" tIns="0" rIns="0" bIns="0" anchor="ctr" anchorCtr="1"/>
        <a:lstStyle/>
        <a:p>
          <a:pPr algn="ctr" rtl="0">
            <a:defRPr lang="en-US" sz="2160" b="1" i="0" u="none" strike="noStrike" kern="1200" spc="0" baseline="0">
              <a:solidFill>
                <a:sysClr val="windowText" lastClr="000000"/>
              </a:solidFill>
              <a:effectLst/>
              <a:latin typeface="Times New Roman" panose="02020603050405020304" pitchFamily="18" charset="0"/>
              <a:ea typeface="Calibri" panose="020F0502020204030204" pitchFamily="34" charset="0"/>
              <a:cs typeface="Calibri" panose="020F0502020204030204" pitchFamily="34" charset="0"/>
            </a:defRPr>
          </a:pPr>
          <a:r>
            <a:rPr lang="en-US" sz="2160" b="1" i="0" u="none" strike="noStrike" kern="1200" spc="0" baseline="0">
              <a:solidFill>
                <a:sysClr val="windowText" lastClr="000000"/>
              </a:solidFill>
              <a:effectLst/>
              <a:latin typeface="Times New Roman" panose="02020603050405020304" pitchFamily="18" charset="0"/>
              <a:ea typeface="Calibri" panose="020F0502020204030204" pitchFamily="34" charset="0"/>
              <a:cs typeface="Calibri" panose="020F0502020204030204" pitchFamily="34" charset="0"/>
            </a:rPr>
            <a:t>Where do our customers live? </a:t>
          </a:r>
        </a:p>
      </cx:txPr>
    </cx:title>
    <cx:plotArea>
      <cx:plotAreaRegion>
        <cx:series layoutId="regionMap" uniqueId="{00000000-E7E9-43B9-9CCF-707E0D0DE67A}">
          <cx:tx>
            <cx:txData>
              <cx:f>_xlchart.v5.10</cx:f>
              <cx:v>Sum of Quantity</cx:v>
            </cx:txData>
          </cx:tx>
          <cx:dataId val="0"/>
          <cx:layoutPr>
            <cx:geography cultureLanguage="en-US" cultureRegion="IN" attribution="Powered by Bing">
              <cx:geoCache provider="{E9337A44-BEBE-4D9F-B70C-5C5E7DAFC167}">
                <cx:binary>7H1nb+Q6svZfGcznKx8GUSQXexZYSupuZ3s8+YvQx/YoJ1L5178lT1h38GwbOAbea9yeE+BRkyrp
ISs8VSz/83b4x212v9ZvhjwrzD9uhz/fRk1T/eOPP8xtdJ+vzVEe3+rSlN+ao9sy/6P89i2+vf/j
Tq/7uAj/IAjbf9xGa93cD2//9U+YLbwvz8rbdROXxXV7r8d396bNGvOba3svvVnf5XHhxabR8W2D
/3zrrrP4W6mLeP128xr58+3Nunij7nWx1ndxUb5xy7Zoxrdv7osmbsb3Y3X/59uN6cjbN39s33VH
wjcZPETT3sFgah9hJCgWlKKHD337JiuL8MdlC2N+RKSNJJc/73qxzmHg8wV7EGt9d6fvjYHnfPj/
k/NsPBS8on8f/Gpu51c0gxMCTn++/VDEzf3dm5tm3dybt29iUz68Qz265fz8H24eXtgfm/D+659b
fwGvcOtvHq2A7ff93y5tgvxfFoBqm+b+BXCXRwwTaiNmy4eP2MKd4CPGbAdjgjeBP1ig/XhvDj8A
5s0Brwzdf2ewme7WL4AvPxLIFkQ49Du+fBtfckQ4sbkDGuO7Nvm+r58h0X6Atyc4AOLtIa8M5JvY
pPFYtn8/yjY+4hQzQX6iDEp6Q3sTcuRQ5jDkgF5/DPNzZNqP884MBwC9M+aVIf3vfH1X6r8fZyqO
KGxVRIS9DTA64pwQSZF8MN9byvpwgfaDvDX+AIi3RrwygM/W6csYY2RTzBHA+PABnby9jSVm2BHc
2dzGh8qzH92N0Qdgu/H9V4YsOOHr7l6vzYvsXiwdggnnT8CLjhyBJLhjW/A+S6j9GO9OcQDQu4Ne
G9pl1pqXcLvkEZmBdDB7AmpyhCDecqTNNneye7BET+C8Of4QkDdHvDqEIQqcETbNS+AsjhAWUlLK
nwifyBGmtmAcQ2D12PFyy+fJ9RTae2Y5CPM9414Z8n72xis1OGIvosk5kQ4jP4IqueNvgzsmJQbg
nYf9v+WOPUu0/cjvTnEA7LuDXhnmCyCVXoQec+YAy2EM4+/7fBtwLI+4YPAHb+nzwyXaj/PW+ANA
3hrxyhBetflfZXbX/P2b2oY9Kxxs2wS8r023G8hRB1MENMp39DdV+XNE2g/yzgwHwLwz5pUBfZxX
9zpeZ38/0JSAciaCQaj13Tnb4brZEXAlsNkh1J4/W9r7OZLtx3tnhgPw3hnzyvC+yta39y/DmQjI
WoAt/s6MoG20geFGfF4L5Jdqf+yoHS7Xfqy3xh+A9NaIV4bzKWSxXmBPsyPKH9IY37fsvGc3dDgY
6NlTx5QAA/4Y30Pl2Y/uxugDsN34/itDFlKBc4yl2+kF8HWOJLexjbDzZKAFtKhASG5xJ8+Taj/K
e+Y4AOs9o14Z4qeQIH8Josw5gm0KWSmb/VLJ25vZgWuQk9zezIcKtB/nzec5AOLNAa8M3bPSvPl3
Ed5n9y+BsX2EGCFU/MR4O/GMxRGxKaQ7gA/f44Q9U7j9eO+b5ADU9w17Zdifr++ABH8ZPe4Qygj/
QYxu22mCjiBJaQsbbxWaHC7Rfqy3xh8A89aIV4ewjqvyRchvfgT4AcKCPOzcfb6YdGwuCGS6Hj6b
Htn5+nDJnsJ6a4aD0N4a89rwvi/uytuXKR6TR3guH+L8R0C9s6kppEO4Q6ncstfnzxHqCax3pjgE
7J1Brw5tfQvlbu7fXifIjyhypCOcH1TYttkG/W0LLMFq2/vM9vn9oXI9hfbG+IOg3hjxynC+WFcv
YaXB95Lgf4OD/V2D73AmUDUmoBwUVPym7j5Unv3obow+ANuN7782ZO+79YtUBEJq2iFcUPTDA9vB
FvgwDHlpezuSvjhYoifQ3Rx/CL6bI14ZwsAPvPHi+/AlEpRAcWPGGdDc2zwYh1wGFVDo/SO23ty/
z5JpP8y7UxyA9O6gVwb2pV5DKP0CBplCMgPIbeE8UcANhfuCQVmgs53GOFyi/ThvjT8A5K0Rrwzh
q6yFwyQvgLA8ktThUGzwI/e8U8KNjiRkN5ikW7nnwyXaj/DW+AMQ3hrxyhB+F0NloInvXmYbS4EY
pT/SF7sxMzjeUDcIjOcWL/IsofbjvDvFAVDvDnplaN+sbzWcyiial7DP4ohxRwLP9YMB2dnT+MiW
8x/Iac2frRT082Tbj/qeOQ6Afc+oV4f7fNQOjou9BO4OGGMyn7h6IrMByWgbEQRlKLtprGdI9RTi
O092EOI7o14h4gvwz25jc1v+9If/jkOVHCqKEOJC/CBLtqvG4FiODedLmaBbSn12h39JdIhL8TTg
u9MciPnuwFcI+0m5rtv4JQoS+JGEAMwmAPDDZ0+YTSSkOKX8HofvaPjizTOEexr/7UkORH972CvE
/qyNzZvLv2JTvYSmZ8CQEQeIFNAA82eHE4fDHuDswcHaPXv/maI9jf6+iQ5cAfuGvsJVcA4Hwl8C
/4ckGOcQlH3Pce14eEChEgF5E3vPzj9YqKeR35ziQMw3B70+tKE+Sa31X+sXSW3bszEXDtAx3xHf
tvZQguZIQW0Mx34ePj9djV+dFJ4n3pPY75nmMPz3DHyVa8DNXmYFQIwOBStwevOp5Bg+Al8QA7e+
xdSAvwfv/mCxfof85iQH47457LWhXhZlDu/3b8+GiiObSgdSZT9OdO44eQ88vGNDPcTWZj9Yoiew
3hx/CMybI14bws26iE22bl+CgOVHjo049E946lg2ZMzQXKzGtw75QbeZZ0j1BNK7cxyC9u6o/wWI
/17Ejcee2+X8++ee2hOrP7f/EbQ3gjY3Dtju/e76bLwx7HMMhWl7jDeclP7Vu+l7dfk+mfYj/Hjs
xjN+f8Tfv5SXaWT0dJOjX02kvHWz9h/aTz3qc/T7qw+PD92ztob+KMff88J+FRcc3/35FkoRKIM+
RY+QnSfaKOb/CO++1euf62Jz2P3aNH++hVZWApqhzL0yOERfcDAXNm1//+MStEPikmEK2W/om+OA
C1eUuokeGmRJBEf3JUTstgPFD+C1m7J9uATVTRhOjXFOEccPl34+6VWZjWFZ/HotP35+U7T5VRkX
jfnzLXgC1fdvzdLCA4I1gWOGUFkBGVyJbBChul2/mwub4R38z4CssNO6aC+mMXVr3arQMBWLXD16
L3tugxEEINs3YtBIZHZHESFodkke3whnTVc7iV1doJbJD2lUW46b82ycVuDDMO3SpmjtY2OC6SYh
aajgiJz9KRE8/FKViTjR4ShPMc8rVXHNhqtopO/oWHal54whN6ddmhj6tRtqR1z1Qd11iwSXttfZ
Xayc1Mou+yQz2I+rqiR+2Wdt5worDBIVm6D4HKej9JmYNPJMccsyu7/gdpVd2i2qMhdXaTYuymCg
bta1yspM2Sse9yW9RB1m6VmXJZe6SXuVV8XgRvIKjv/cM1PdFXW4CAx6z7t6VfR0ySynXBIET2FV
sS/tYCFznw35cTCOtUfTPPaMxl421t8iEb2bKvsCk+pbS7ubDIe539s6+cLT0ngyTNtzi1f6ojbM
OclieV7JPPOniRhVWBb9ZiemWNlBhC6Kpq78vAtqFWcW80kvzmkjL0xhem8iovPCeCLLpuAfRmx9
zkhUe2USMa2aJiRctZREsCyC3CcCxT6UWMMUDVng1NEftN3QwXNEEb0zYWf5LcfalwMaPttZPMJb
JGWjTNpqz7b06CVselc7jTiJYONc/H6NEdib20vMJgzO3TAbNgcs680lVo+6DsNB6Avj5+teK3wz
3XBlqdptVsUqwCryQj9fcl/7hWIn9oL6ZBW46X9Z6wx29CM5BGRROOfgk8OhPoRsLIBbf7zU2aD7
NjRReRGQ8GTMosFNwzpQVW8TJXgq/boL6EITR8cqEOg85Do4wYCRk9a5O/LxQgZoVIJMX5uhlAtD
gnwBPQYXgZi+chYwlQRWpIJp+FRnFVdE16PLTUK9oQ+IwlGSKxYN/kjlsseFmwSTW9siUBOTq4li
NRKyhNMQWNWNhkUhbbfLi1Uy2F5Jba1KVPl9H56RII1UWsTY66pY5XliPNjEF/0g6bIOk1QZGn4I
+3KFaX7eDgIpS1RLlMJC47K2Fy1Kbn4P8aYSgTcLR+scKO2cq4UodJ/aUiJyIr2s8kBfoC5PlqAI
Mnh4VLhWHPmsjG1l1yGo61+9CvdoLgJO9SaaW/fcQtMaOq67NDQXdUi/sEC7QxuW3mT4ys7b87IO
kAodXSle1y7LTKOYXYxnk24jJSx2VsbiM4pNrTpjfQtSe1HV9TkpnWsUTLcsrL/mfVx7dVFXpw+C
/7CVPyT/rupvy2rUcRj96Ar568d/vS9z+OehieB//nJuKvmfn5b35UwImO0vzff59S24zY/7zjZw
44cdo/zTGG2Z3e9tK5+4+LRNfmxbGXBbj8DbMcePPRuwzNCq8sHGPYz6ZY3hcPV8CgQ5hDA4QQ8T
/rTGBBiVuUoNvG8BntlMlP2wxja0T8FwWhtsNLhj5MGG/7TG5AjS6ALKy5EQ4JGDof75jBsQgR+y
Z7HhWUVtmmMHqiCh3hWMOwU2f2uBNxMtq7pthwuwFtLv+iCqVEkTnrop77trx2LjSTJ0ReojlDZf
mtLuPqS2GWplZFF/evT29kmzud1m5wDehYSzUVBdC139nC2FCuu4SmXUdhekLvBFmE5FoFpeOpE7
dE0pVdfb7RfeVVasdC6a2q0TDaY7gM1hu3BMtriTTYMuYY6o9UiW4Q8TswRejg4L7vFo4WHxe4n3
mADHdjhUCxNIh8AJerSpeu2YR4Dt2FzQgYWh5wxT9qED54suGj6WTHXjgBMv5oFQE3fGWI0posu8
0yP2dFc2d9FgDHZjq2KegZasnWryCHUKVE0a+iGYxau0lSe5kZHxIEqXH01Un6ZZzwY/NpZzHuuo
y5e/f6pdGODAMIJD5NA2EarpHh76kY/GRyvsrSozYMgD+bEMBSbKTgksjapoh6t+0PKmCnD2+fe3
3XYNoaga3FVOobEQmv8zi/XotgwNoV2ZsLgoxIQvcBq1F4XRbiyC6OPv77RpMBm4scBcQx6a29AR
QXKxtc6qwh6nWoPBFBWy13Vf6mwZNGIkKq0iH9VtNrkUjaJ0E8r6/L8tmnlRPN508JQEEQYhNYRk
oB22bg++RByFRR5f8Dpl6zxp2TrNZhnYlBvf0WWpRgTQL/us7omq05LfN5k0x70c7bPBoRq5tE/K
1E14kX+guiLUi8Q43ldWV3nImnLuMlnaesWoM7X/xd+Ye35sy89ntQFEL7TW5Ns+PHJaVjAWWOe4
DfJ1rBsD7rOVNoWt6DgW4UkfxelfoZDV2TDV0cIp7SF2Ce74t4ZPU+mOUchdu0y6+1hTftexKuIn
v4fY3vKKAGRqU1hEMxkNaQjGZzv7aDk5WsRIRw09T+y6CqTwGhlNy6EZqFw0Xdu6eqjRdZePrFVR
FHFX42JpiK6WmV0RN83q/F2VsXxQPOvDT32Sl8ejaRpVsbr64JhUeEFdBG5bJkms4oYmvQrAB77o
K8tc1tZE/TDEMlHWFBS5S7ooXzGnyd6RJLwKx4IOKmt5fdEE9fuG5Bb1nI7Ai4xHArrBbqdJoV4k
Z1nExJcAtfZJ5Ah8NoVDJ90eRXYOzbbG+NgSesxVP4rJwz2zvCkZbitTNzctsnik+rzhEBPU7bEd
EPK+jnCfLgNu4VhNURr8BXSv7lRc1NbXNue5V1WGHKdlUR3jWmZ3cVc5sO9pnt7EMhi46mo7PNGB
bt0R3sMSIkd5Wff54Nu9rhcYD7jzM2gYFbpdH4ra7UgU+Lmh2msreRkFVog8jMtmBaaG9G6BEkeJ
hmefhxxFp0TL6obRhi1bmVhkYZx8Wgun1L5BQzItulSEC2sY0JqYrP9mwqpi7kQa1KoiJF24GJqk
hM3R9/4Ydq1Y6DKIvKyh+aqAryowQBpCuC7vuEpMklguD3queMmGSdlNFkBcaBX5UjupH9rtiK57
im3ocq1RphJYSc2CNr00y4Hy4cxJpykLrtu+bvJcjXE2FvouCiJCpi+mtwaeR0pqUOXlLRnzpKEa
2gC3bYUumrTJ0+FExvW07GTbBMe5juNKJSQrbxC36HEyUtq6LWAQqLFGcgC4ciG8IgjAHjZZ2tfg
v/chcnXW4OAyqpHDy1U68j7yxiGTzZljGgorqg9KbHq3BVu4cKwoCS472DpO6NaiErDgaGryRZHF
WqqsBuMV+EMXO64VAJvE1Bigwob+Y0GeQ6TZ9sGiz3iW+yYAr2DBijCfXDEx0JgFSe3WzSNtZeB8
jqG5MrGV534ZxuKb1XY8Rh4qSbOMbdGKC2YFYXBSUN5wlrjFYOppXBk4PakjvwojnvuB6aZ6IbUp
4sWYOfm4QsbklcvImMUuH9iYLXVcx5YLsJJPVpVP2IMaxDT34F9kXWYJsgy88qL4lOS5zI+plk3m
p1HjvJvahtJFYpUEn0Z9ZHiheESiZhnoripuwBjTkyScSLpoK5DAL5ssnHyBh0m6Ihmr/jwXIyxt
C7aK9gKM2xNNGcu8MKBh6/GiAzhjbsA/KaaETvdZCly7J0CA3KNjHtXHGMX2Kox56rgkTWvqxWUc
eFMbpExZva7kVRL0ie3SuE4miPWTyTpFQWYvcBWEDMSVvPLxGE3lcRTjPvRTaUe9mr+nsIxlAcsn
pLU79LE1qWaIra+6GMvRUjHsI3KBpyKeYiU626Lvx6wn7YVTybH0Clk356wtwCSFhqcwQOYU3lYQ
R7j4MuGsiE7qMc+GhenZFJ/iJmze2wlhazYEeaAEhsW7aIuBU984UwzCtzjJvYzWqXFFH/gxjusv
Wd+DZ5GESXcDnEL/V6Ujuup4Hwa+SBkiqhABzMOyMhkWhe7wxTRU1L42DcPvcWPBN3rHMsJt8MgH
vyN5Eq/0QEh/XPDQkMvY4vJjgep5cSZJbZY8M5G5Gka7ES6qe8Am6gsQrDSgdE/BgsmPVCBY3Tlo
Se3BSbChPG6MDMhVots0fUdEIe3jwU769rwZmtn5jMbhiqWWMwDNk8Oty3KaOjWQvJkgNuXzw8+i
96CfQK4qxxc2K+Ap2prBq4rSMp1cmXawdaosTOPrQnPY8roFryCEa6BTSVNElzW2R10oWkUI4O71
0J7nVlQZFaO2HhYD4oj6Y1eTWWnAZnLhiUCBDBLPfnJT5B8D6Pd2Iro4FkpELIV1MYbOui8oiDHo
ZHxHmwGZ0xDc3OS0rIo0uRFgLZamQPiilmH9BWr7nFpFdhSTk1KEsj0NojLsvFHzugcHd6TLisBr
dRGvx9s0S9nV0BpUrmo0dumn3slDs8oDK/82TnLWIXGdRR7EAYL6MRkjs6icXH6yEPAPeV+FENfb
oOZG3Ufv4rIxpzJPE+YxokkIag9oGdVFRH7UidWFfkYK2CaTFVB5bBclru9zUMjjicCwpPx+1th+
wix4o0M3dT4Ymb4+xboljhtIoAvB0tIOgetdJ1+17OR7awQ3/WSSjcZ3jSlGo3JgXLvjuCcw1ZDj
aHLtPnTC4wpg6V0rlc5iKruuOR9Gnt0kHYThghsI3IeOrabeAXBShM20rLK0LM8LZ7DPrAbZpR/V
Rd6dhmNfRa5gJo/egydi7pAsQI2A6jSdSiPTGyX7TtRgBcb6JgtrHH/G5URFpybwwMYPVUMtCZOZ
QPsRt9LwxAqq/q8oRFbnZtw46XEMRPD1YKxgWuq2NrEfTy0s0pg0Cb0a0mxiF7lTZZmqqw455zaO
7MEdwbsxfh9VgFovijhUeuI56A5jMh8PdNBelxGhl5OoYfWn9hBybwxGZNygMk79qWcjfp9EGtYa
WDr5EdZ6bq4KWWBQsKSSyULkkdOrof1CRNsLrNK04x8YKere61nY2Od2kInuXR0YqcG4w4r2q5gC
mhA4jMNZTJu0POO6iugVGVDmHAfAZcFzDYMVnqfaqnovNwHoDPDG2uY8ywKQX8s0XJhIpJHXDwgd
j7UN+350HB4r4DL5+YNX+ndzJOc/f2PHNknymCP51//nTMqe7MYcKfziwnbolJv5d0DoxwTM95zI
POonnTIXEANTAgXGlGHmEAhNftEpeD4nAi2IbYyhD9IcVf1MbsgjCuGKhN8SAHwJnBQCSu0nnSKg
86E9n0pwOERiDifPoVOAf94KjRiEQ4RgiO0IYsAIbPEpHSlIU1tyvGSONAtkZYVvbGRSlVIR1KcC
JQNTdccsy2VBUZ33fXuDcrZkIu2U0RCrxRFiZ0MBDEuXkEK1xj4BzgS52UjNgmDg0Z0SKNChq6tr
YgMP6NiNdZqPIVuapPwsJ5y4FkO3RW0joGan6zwuUxX0ZeZZVZcpGvLLSWSdW5Sg7MIKqJ647CeF
RUhVG4eFW+TkOqVWdtzlfevlAfMhjmIriw+DYjQwxzhtCwGudMHcuErfASN936f1TdnFZ1Xea08j
xzpOBms4CWWWuVMjq0vUOl8JIe9kDbMEOD2HwsLes0nrmaHIvKCX55DDUTUlmRrC7hql08e8rT7I
pD6NI/MVWXSZVDkIO/XELSAustk4qLZn51Ml7sCcpO44glETpDsdeVm6QdbXrtU2uYqcYSFJcJtG
1CgmykVQGp9b9XlBqs9JnIOZoVXgxlGufdBTf00x+Eaxhh9E9Q5C9cxFCa3FlaHCGpdWW4yqiuB+
Aeo7yGGV4CdoX1eQaeHDAskeMi7NaYvlAuvpfhIi9hnvTosBsk5cc6GMGSNVtKZy7TzJXS36aiVD
Waqe2J+qNjtvLRp6tV353UCAFxrvA+74hFSNS4JwDSH2t5YDJ8xTVniNPZULjJrsXGTkKtCjo7hT
o1WVVNeRhuAJbIECZyl0o6x0XG1Dvq1wyuOONB+TpLxuUY6U41S9ElmymNVplms3osWyxc71AJFv
U1QSaCnwDHSTeZ2Vd75wYLkKwwIVp2Hj8XFCK54VsV/mxlZlGDR+XIOSD5KrNA/B/zDOadAL0Ky1
GbyGxWs0TqHbdOWaD1S7ZrAgEwUmaRUAxej1TZpCDGBDEoC0SCE8Vd5gh7YKm/CGBxzWVEnJiuT5
eROUg9sWqVTBAG5vXEPIS237NLP6awdHXwpOA1UMufCZcc5yh6wcIRq3C+XlUBjjZRZhLo/wMQqR
UU6FgU8HFlQl2XBZDtaxLhutxj69bZMWggj6VzX2V4ndDh7kx+5BSV2AL5Ir3YuLrmfIT4TQKjBF
dyZHc0UrepfYYMFNFa1oNv7VJ/JiIMVNXGSJm7PpS1Y3SBmLhQvBkmRRhZASbQLniynraxJGc9CZ
3icT5PNGEiyntucuySxHGdtkSobxTRmFPWzqOPOtKv1U9OUnrKNROZ291ij5WjhtDvBDUqwqAwhI
SnreluJjoq1THHYnQubIRwPznag6CUoIxNqydTvI4KpEWl+aelzyBH5flM4z1XPTK2BuPjcQcKs0
pHLVVVx6BiKrVY9h4dVG2pckLYXl1RAX3L2I8fzfZxbRb5P+31um75rFedQjswh5fQS9uIE8h+D9
Uc4fDmFA614koF8Ng+Q+AbP8H7MIthQugdFkDwc5HptFIGAd6DkIziCczoRuRc/IMsBv3Nk1i5Am
teF0H4gAbYTn64+4OEgThhAhBfZlOlV8PJ6cEnZSF9EmuATvm8I+toDtWYl5a1ttdDPOmz117Mor
ZgWAAydWQIamfisb2zMsRyvUp4knZuXRghbBszppQa9Ms4LJKbDlGnRO9qB8QAslszaa1VI1K6hO
gNsrZqUVS8d4aYsDMGeg0vpZuUWzmoscUOGz4sM8/tSBJoxBIzqzaiwHr+imZVw3vepm5ZmCFp3C
/mMJWhW2JZQzzIqWzCpXzso3Bi0sE33tzGq5zYmjJGhqsBGg6GflDbFu4ZEgK4Fmqr9R0PCgaxo3
t7jfjPf9bAKAavO72ShkeXE+zFaiCEGpzIbDNkAuatpXblph0H2lBakGIbWLu+GUTnHiE7BCrQgW
bdmdYrBOGKwUHBpYGmp8DdaLJLgDQqlKXd3R+0YC99kHk5JIkYmeFVAxMTHgyNow0CrioDvz+L1o
s8LLsmqVQ5piKJP3mbS8pimuK41OI6t1wbmGEI3l1x1A2uY20OpDrItlY2GxEE51gln+V2GizIXk
yBnq5BkQJoVrZ0HhnAhK9DUeUBV8TXQWEt/QMiyurakZq2WOwf6GKEWfxykBo+l06S1hdDFEuoco
pr2VJlpAf/PQ7QVcjtv+vraxcRMzSJV3w6oZowu7CIRv9cO4qJvoW285WiVi/OIg+b6Zhmvc4a9A
q5+gcvoSd4l0HWaoz0P7LibDSY/C8WsW1SmwvhUQ2bRwRQckKkP1KmH6GqLJFdfCOgN69/0Yw2NV
WVurMBSXwWBiV0TTN5sxr42aVLHUkX7jjGg18W84KW3gRpqPXQOBcV7ZxMuAqElDyIAzKwbeFRjs
CjNPQwrJtcroNkzryc3acVqIPqncZAyXxDJfoFhkVcK2AU+pGBQQVVDGYia/CYsKKl3S46G3A1do
62oMrM+6QSdORbGXkOQDC6IQaC7ClQlGBbvZg7BulfGUu05TnhRsNgJAwrW1YOBZpd9M1FxWub3u
THDmZFOi0jG5gATIaUWjTjmlPC2AMVSE0s5NIGLXUQzmten6ZT1ANNhEUCBAZLYuUvFl4qWfZ+wY
mfALTWl1M1lOpKxIAFdO2AduRTcDsRT4WJ/ryI6Pq0geT0N9GoSiOgWv7rMzBEvIMd1YjnMcUXFp
SXMdIee+sqeLPNertIS1OTnj5FW4aD0g3N91XblMgaMI23ipk0j66SALBbvH+Wo6cxyRpH0XiC4C
jjxb5EN/6jQm9f/PtEE929yz4XcR34/fiLZt274Pe2Tb7Lkhk4DITtiUPw75yNwWV9iIUoIgxINL
P20bnE+D4jIojIEKMBuS73DpZ8gHR1egOTb8kiFo0gZHkMEiPsO2AcGzY9sgRQ8lc9BOG4I+Sbey
eWIIa9mKqL1MQBuciEza57oYTkWRQX1Gqz86ee7VSZOuipJn031Umtq6bscRWP0JdAEesmsZVYVq
0vG6Ce2T0uTlos5MrPA0QiY4xdYyzjqoNamiRZh20TGkG5AbVoGtgBAKI1d2dbHIOSiZmzGsvsho
LJUFLRcUB843cSsCMWQ3WNMJg3KxKHBHMcYnbZZ64FJaq8bS30JZTJCERsFyxCWkw3Aqj7M27D5W
UohTEjvpuaAFZHvim6qlUeWLfESLCovY67SFPN7JAmp5Jgo2ISaKOPL/sXdmW5LiWJd+lX4BajEI
BJfNYKO7m89D3LBicJcQIAZJCHj63kT9FRk5VXX+f9/0WnmXGe5umBkgnbP3tw8QiLzkXNNRFwPz
slD7ehfO/U0cYlGYAlBGU7POqVNqbEZc2sNo1Y2nVJJpObyNoIEWzxbcXXJf+WgN2dmumqda9GiR
IX5huY4za5QpJM5wykpHFzgY+0CnG33CzjCVuyEceAoXDAYFV94hGc09r4OHWLjSHPuIO/qu8uRw
gI+VyYFHhyFclHyItJtgpzMlndKAlmQfeHYSKTioj7o09rg9BG+PlqPO11beLkLdoFA5yYbfDK5/
jrWz65Q9OW2UdyvEpUGmrlizsOq/WenfVzp5+3vxwOKBcvbfLh7bHEX526Xjn3/0Y+nA+kAoCRFR
DqHLbK/3Qy0K/uFiPKsfgdaBNuTiR/9aOvAUuu0+BoHiblDHdkP/snR8j7QleHdIPYT40V9YOqC3
/27pAByCZQ3czWZS/5a+iVG4R5Hjrpeg5c9D0GioPItMJZCt3FvbXTxEe892x3BxsmlOnttuYalr
5i5vk+hRxOQ66PSxFQKEX1wCEKGtTIqK2/6p6RKv6Hz3jjlyPGpbsSRHz+l8gcHYwlnxgomfaTm1
cxZKt0yjhoqD0qIqWlSfd67sg7wz0YOtI9w+03JJwsZLZxnkPV/rdJi7x2VxnrtQPgUdHHTXXyGT
jPYYOcuFV/HJo0EORf/ruAaocaRNmXDve+HfJrHz7E9K5vDmvbTU9fXUj3VmSvmxjCgfuO/tSkJZ
7o9tUIT+fIH+/nloxJyHU2DypePfYDivuXZLlSVzXDBX26zvuLeraUTR5TpkOdq5czJu2dkz9BLU
6A48fl4NzVwPXv/UgmbxIBXB7HvhbvLmENpBAQnuALsWOmyf6woG/CjWJz3a3WS8/sYrbdH23Qci
71j1qvvE9NtS1l71rD167fJcK3N2uunDHcMFFMaCVh0ebrpW05Q64CPSoKkPg3L6LODwV5fOz0vf
NRnwh/jiL/2SrctQZ5O2Tco7m+lkFCBjXcgg7uLAE4NTJFH+ZUAWv/KFwTz1lr0uBRSE2UOp5x+B
MR6MGS9lM0ogLNVyzYdx6KH4QAfY67CpUHE2MEI1RBcVwsOqW/QMvp9xOe2IW36pA1Rwzeykm8Yh
5PyZRdAP8ZroU7dFfrap5VOU8sD57I5MoGnQQerVQeap5H2p6/ga1SMkIleZnW94dNXYAGqUHB+4
KsmNr9vu7PlsYoA2RQ5u8cCnec1U1JCimWget623l06ldw2u/xtTxXvqkKMzqGdIrgfX+M920l7G
uHJzrXzvJuh9cdXLrk9ZEnkFD9s1LSfhQPfZ3FPibNua5970c+DfVX5HD1U97RPSHxbLTm2NHm0e
/M94nlmY13KpLoB9bZaEZLfE7c5oYMsezP0stPLLorqdP1WvHYPYlGhQAhznUzQL4G0SwW34TzAW
CpWfYBt07i7KmzAEJwQCP4k37frn1rkP5qlunMS7NC3Iu29oG2x7/Knouv0nefTnTP73QwB0xVhi
F2sksKjfdOdLz2Ylqgjdufpi6tulf5TJ1d971Pc9iqAc/DeWxvdU2u83qe2v/u82KcCesCVAxKEG
3krfXzYpTFrBWCwMECe4PLYX/NcmhYe2bTQ6Kt8tyIHa969sUnBQfn8Bgkgm8DowVTGm33nln7Sb
WvaQBlzhXmDKjHy3pRYyQBbm6yhMMZF6Tt22rA+o5EB+e8lzqdErlSOgfhgkX3TbPNDWJikuuxwG
kJuWffXFOO5RTcNV7YhNJRgRiximvIwmvasD75OlMwOKZdW5HYbjMLEMQsYFZM6x5cm1qpfUG1Ep
mlKAL1rWLqUqPkhIHat1chroXNsID0h31ts6MmXWVPbeD/RbUlHYLrW8W2rHS7veeXR4NWZYKlQ6
VNWOlVCMxCtyBJ/A1ZhUhOJejVhdx0FlXhueW6AEhVjlfuk6FKU9wU63EujT5LyG/c0kzTlW5bc+
sefKh9+xRPUdmYcpY7K8tgT1K/OdNzuGhYp97/MIFiO14MhWNT5XvvuNUQFgqweyETXN00ydbyac
8EGa5LCtq0vDeOHhM5RufV2t/WcYPmo3lXVV2EUDz/GHcC/DEs4nH9Ixbp+WvrwoYz+1aN3TmvpX
czzsNak7AB2thA7m7WLF9kMZXmq/x0Zt14OxnpvBn38WUbLb/BU78b2r4ylTsbiTrQt6X85XsVqv
rIrdwpb9a8XDAKTXINIhqZ8HtVDYt/o1XO3ZRgOCHar96OLxGiUSu+I1u0kAEeRSR4VVkLo87R9U
iaJbDezRb8aj23O0RlQnJxuZvvAj/k0y+sDKZW9qOxdt156wfXrIijjvM+nPayR3kdAv+Df0WYiS
kCmOUf9UKuVC30olmqtkbh+jq86rIZwDdItwP+U8AB5GjfpoPWg3dNxH0wC6yoxsh18E4DgUfQcF
3a2xh0+OevCmcS/C+o0s3j5hhqV9HJ6VoOhbOjgXUrZ3RnDISqreEY2aaC2nYuG0TxG1jbN6HZGb
aVQqWoiRPoAJn3XnGltNk5g1rZPxjtT2JLgWGR+XmzHBd0/Ks15DjbRDRZevSAOML1xqIJ8saWMo
LJLe+z0ex8nSeGydO7dPhnvwV22z9+ZqpwN3Vzs8So1fftRsfi+Ry8p414C9G+iJyvlZReMXXUOi
6rvujrJk7/D6zuubYxy3YQYMNO9nmomATnnVuCOsCn3jBQ3Bh+uLgVInDWZx6PRMCl4SC32Trhno
hzbrqzbX3bwLouXzHPk53L9PMaQ3N1mecKIRWRDOcamcK/Rfe147R7kpejV2d9HkiVMeRLvs6liy
dI77dCHrKej1izeMOQ8XlIjtvJtaQGxBJa5oheJJ136azHRvkwjEVIsT8qxHsV9mszOxRd1njhXA
M8RMwCe0KudV8ooCGtmSkV9NfeLl61Alu7mNULjV8pAM7g3CS1+VJbgJlmyZwVzVJMmDfrkmRhzt
GPSwqdzx7FuLcxumpWMORo1fzThdxBznSpBHt4JJlCzj1YoSNQUAVJAad6Ebc5TSm1NYuw+hKd+H
aLN1pvaoExZnik4Hj9E5c4bwQIL2tnTX6cwRjhFVCIqnmjJOzLWl8jw7UqZt3WSExW8Nqk4dxQcD
Indc3H1CzW0VTS+u3x9LMu+iyaVFLRqsf7N00j7q7gMo6/BWxwtxWbowcWiwAPbVdFNG6+MAInnw
9V3pA3IbIOoNIQinZMmR/tpF0VgEjgfuSU256uSKVTjYJaE+uxKqpCRTloAgG3r3S1MqP9W++RRU
cZNZqLZHj7LbTdDtGbvz1vgqiZcpW1en2kWrPblRndHOcmjbTBStUyXHgIVmn/D5NmicHXJyt34S
fwT+upNtn6tIFwrK666qBplZR18W3d9qGj/NleFZG4YgotowKWaAlq91UC4566cPgcKdz+5zY+RR
6O6KJ8BtDEp8s/q5X40fIVsKs/UAfJ53gPGeas9f03Cqn7ECF0qGd6NTdlCl0UhE48s8zGe7dRgK
SG0W9BuhBrYVTQifwwtDU0K0xjKONqUcEgG1sRwWcoiUqp8nOJd17jnS20HvtlmMBqdxq6Mf1gKR
LvQ9Mxog8r0TmuBFKDRHybpevK1bQrnAcoYGat46qTIYPqie6gx16rWuKJbLZUbf1VUvHRox9IH3
ZOvMpo6kM1o1+DZoqpITRQunovm4bj3dSD2wtWjzZrR7Pdo+CDx1Cmos75vKg7RsL9PWI5I1fli3
rrHZ+sdx6yTDrack37vL741m+73p/Kme+oPa1d/q359hegwaxChggGchKDEXj2X4dX2sBnTsSxIk
F++hTV/D3XQ7ZEDusuTz47267k7wpBHHq67Cvc35odvxU8gO4prv/y5wvxe422SnPy9w/3eLJ9CO
vy9wt7/6UeDimScUQEyIp2bguYRbB/NDhfGgwlAS4cr6jX4LLgdUS4Dpcd/9xy3F/Et9izGhIUYW
EIz9xTwa+lfqW0g7v7uA4H+6iJ6gkobgsk0m/LnB6vpwrcOlVBe3CR7R/T/4CpUeUXf13IvUToSf
mAuM3iMHsSwib+u63JVThP58NmXqDj34kQWkDMDae5esa8Z73Goo9+DSr96ddgfEZxK8lqQdLxrR
e8eEjf7GkDyMVIp0lV2cet187Qxul7YSPo5dJydz5rDMgUcL9MVwPUZthxtXto8QOcJrOq3ySvhw
4rvIh7lUKlb4Dd0TBe01niAfRJyzdB3lI5cxbksHKWB3VMehDxHs1KxQWMQAWLbvyGg8g293No/l
0AXOg7PWUGYGdb1uKOsasi/Ir6G2C82SjZ0toCgJ78pjwbeJfx4DCBXs0HUly+1kkFdZjcA3UjcQ
nOY691fVF/0iPtsVHfqsx29G25OnQZwkLj7QOJVHrNm3C9LF6SILZ70y2jvNJP4UiujYuYJg5wzd
PKHh1cjG26oFQoT6Dkm12bsgFNxg4TWFB6Ao0wFVqWZMHekI/gnU+r3PLLlLHP4V3MWdkjGg1SaA
7ehBL/KHzk+xy3ooUEZT9GWni6aG6lLW1ktHN77yK35cDJKe6H1yEcv7uVYidVfjFUOAxT1WUPKj
BPkHiDJDwQY9PTDtBlnpJS/M6UTaVf1+cMVJ1fSRJOtnz2Fy3y51ql1diIkneefzOu3Bvac9NAnr
Tj6stuEUePgs6zjsk6AVWV160r3tiZYPIMlw4FGlfd1dVjJ+BcDVHf3JucUF/jnpqg7CFZMnXnuv
2K6vR3D7uRMTBNFs8D5b8z7RZdkpPfdANuLyAJT+S4tbNEVbg70Wcv+uApgW+gwdWOyeJiHe+jU5
r4MHIbvj+846V8OyYINzY3enGbLOXV3adFTqRosVt8/0yFn5ZeAUjVmA8IJw2odyDTjAaPMyBPRY
D5od4hAL9NI1abdEkDuVPEYsfBq5y0+TlhGs9fUBr2mvgMxNYJm7DhZmNGbfufVpRADBS7aTNwdL
5kZllHsleVGdGLNpNSZVSsqT8s2czQ6lKV+qIW0UZNZ1Vt0rc0t2kJyPtwIqcWqDIZ/lgo7ItM/I
QgvQRhyosPBS5XcVTlAvi7JB06uqusLdrv2jqjqediLi+eibo7vG7nGI+ZF6ZbOP8F7SIQpgom53
aQzcVQm9pt2AmLxGt+FEuehWDcIHxX7foCVdQ6IzYO0zKl1OkblHAJp4CCbgPxwS3gqWpKiynrxZ
nMPRnLoA0W0yPkwUYwJW1e65U9apbOHey9q7mWbzVEGhTZuF37bE3NWgFOJ6vlbt+gotDk0aYpVp
24lnRI9OZHYPi1KPOo7cdDAS4FXXBSjm56taDQV1x27XLrFK/XG+LkdIpXJpitl6BfX7k2+MTBdl
4GyXnyrmXZDvukEc7XYQFFTepL6UZQhgr15fG64CJKfRoIG9/6RaCiZ3AXOl/f6x4wS1bN8VU4Or
BvnDpX4OjAgPFYlksAdc4he8Q3ImrLr87y38+xbuYcv78y0cyMn3R07/fhPf/u7HJh4grBy5GxMU
JTA+oBH+2MSRY8Y2DSIXji8QH0hR/6VSEdC62NuBGGG0EGKWP7mweBw1pkMiPri9Kh60gmD0X7BS
fi2ShltYGGgv1FFYx9vYQbg5P+/h2ix2QIbL3hr3BEkaWYZO/bPAA1H9x1FpPIvzV4UCPgWQXgpT
Gburj6Rd+JtAoeeMARpF1d8GNhGABUmo6ho6uC+DW+5ioc2HLprru7WrovhmixS+joz69V3shkvG
3Xb2T37UA3bsjgMHsV42RRRUxVp5S2rWAPxqc1siwdd06IlVcnCG7kG7Pfox7hXrQO/nSh3gfYJo
Rd+LEc9eHpLhBLL94sT1l2apPztliZxdfxTQsRYsXdla8QvTqoj95kg58gjePH6MhiKBUNm8GQgF
yYTsidN6TYpExGGYAAIZKp6wcg+ByvDxXlnkHpFEEGng9adhlu8N8sgALknaL+172aNqidselYg7
x9hRxh2s6KtSU5vHcgwAR6Jj6Kn7ZVbyBDm+zT0iHyePnZBIfBpnUI5+pV/qdlEZX+xXFZHTQkaJ
Tqu/lny2eTLATQqrMszKbnyALziicMFezZbgumVyzLQK7hoL5medzKsjgt0KDRHmEW0x1kJ/YAlq
shjSP6YmdLeyI2dqR1L0ZKjSph7EIUL4OEV4gmWzMBJjW3zYQ1Ncw3RfXzwkPwOczrQzzn1oHTTa
fvNo26RPk7h+c4aRpL7tj4jaiJtGWy/jTn1SDrhP1xvIhlZfMf01EN0uMVFWtSCYIQvCvGrkS7lO
JCuHGNYK805jjMkleqL7lYZf+2ozW5bxbCj5GiMTksei+ohbCkGRIO456OSRDdEHqSzSTNV7NYQW
Low4cB/FijfHWcfa28lXXzwhkBMEKJ4GtTzCBGpzAq21ihElNIGYMqK0LYjjJnADza1JnKeJGZU5
jQZGw8fCI/yBzRqDWigzmSyDoiEApCdGi7XD+Uti8eAD8AGesCkD00vtrnBDluhDiORT6EHr4NYP
sFPXJUx/Xl/Lthmh8lQww0L3iSHOIknYo2YJLqyhFF0qomwe5KJJNLh67GCK2OL7oHR9q6PyERqG
ACIv34lno900uk81a55UJf10hlCWT0xft9T50E785sQLgarEMxp4Crt8iWBIQUEh+oUOlvrY+7j6
C0vGoYRTBb1iTbzhMWTA4suoxlUOuvypRmj9GK6zuI0C+zgM/sFZ+/cWNUtV903adP03RK0GjUk9
rDA6rna1BUM4VuKFEJ03UdnA5HqGQTvvF76IqxblcOU496MRCQK8ohmqvGwB5E02PoO273KEYbtM
NWGYrrh+WdDvZ/C7QAxbgOTO3qEq63FvpiAyblRHX3kcvlcuogNooIeUrN6ubfps4ssZEM1nZzZn
q6tTG5o3ZojY1pz7UXoFOpL7zguO1nPul4XmkcOe/RoMchzmneeeE8u2yvIWocXrVendasC+J8s3
MyHpyanIawUjDLmurEarQ9WImiYOd2M/3VAAXeMAxTVYV2htoU27BFWniB3IZA7UmfG5rZK6KH31
rlBu+cP84qj30OBKnCK6C4igbVaCIIN8VlqgdMIsjlO400KfKZvm/TCMfibY7Gdh3Ov+pg6C17Yj
zgOi5wWdJAKyjcC6ldYd6ZcUzHWw10s3ZnGDjE8cwOkd1A691au1zTPYnDe3RW2DqVHrLTa8YTc2
w+fB9458DL7NZXxBTPUmaRKWyzauYG0jcwrzIs4c0VS7dm2TR4Jk6DVr+UPF2Bfhj05ma9Ocx3Wh
4E81egPpLhnsgDfp4yxa/lhVnciTwDmZSb0aJLoeYidod6WjtiJ/UOlUYe9BTBBrgHGaKFemXy+O
jp3HSARLviyJLdiIWg93uXopE2Vyoml7wN0c50OjcxJN02HytN2X/oiENFCCvZUuz6YGkCvTdYWb
vQoPtkm8g6onRBr1vSI8GyJvLzDWKu2cEo0G3OE18h77sHsdvfmBhWN0TIh57RLbpYSt5X8YsoTi
4Sd55/umC5MLVV0U+zDANk7j5509akyPQdSDue1iW0TeRcSPEd51uNkz5OWnuucPtKRfVxHbsTBp
BUYr4kMgw/CIv18fS6lu1jCd7G1cFiVsjGXHnef/2SF+o1aBYW4aaxp7C1MtQ8eb8ukT6R/+GwcB
UILIZ4Qaa6u6fv7OFK/rWUhrb4MR0u3V7KAO/w+W8e9PC76qnw7xG9FEI0PAPDLbWxI/tMNubUFW
24ukn8XyH47061kd/3VSfjrS9k5+sh8bPoVwr/BhhgUhJRnB5TqZFqZUMbWnFU7/v//utjf+i5z4
z8NhNAgAQUCFwOK3t/PT4TQT8zpqz942w6unMfshemT8vLSv3w/z/zoI+P9hlgGNwZ/3Gsja6/ff
NxobcfCj0YAkCDQTI3LcAIGwCCfoR6Ph40cQ6WBHUzQi28Pf/tVouP9AB4JRtck/JcFtsuG/5EI8
EBAYF/qCMAwoQC/yVxqNAPOVfr5AMKMISiFygjHeHRx2DHD59QUy9bPC0AMeXNRMXAgJ09EuBLiW
CFDoRsMOwSQDqW55oaDnc8XI1zGIrzT62Dzccs1iBlGoR37WtnNT6UpEH9wxjdfe5LOabuYRiQSS
YI3uOvNlSeQbRz2BsP19TcReLvrkB/790ENPFMNi0qTHAL7R869ki7EBzKFPqk66rElajcRx+bR2
4iXEOAVoO+ucRXN7CVlwQc1UJEN3os1wrLElHtcJk8ZM7ccoF+Y9Ri8Vftx/ADm9N5aFJ8nKPWaC
fYmrJU3U+jwDUk1rHyRZgNEFyCC2Eo5Ymbkz4kO058/WM5/qGaUtr/nBN51Me0XHtOUB3GBoO0gO
Bjd1O5yamgSpHcePYeIAzJwO6kwTX6p2hArKhosIp/40txox4QoKI21BI9V8RLbCZeWNijo3h7yF
YnMg6wfCf/XNROjXtcKX25ctv/MRQk65Gt85rI1r0TXHMHEgOPj9sudSxRcFZqeg1OKsGQ6/DBmz
rAbnjcEEkqPC9KJ9NaE7iEZkuMlM2Z3LAm+/9oKlA3JXEGzhvGLkCLIGbcAKd2nEIQhmBLKqyt8L
vg0TAiUQRDOi65BUkIAvPZTnMOYaoipQV325IzZoirHVmIvYBW0hA3EFNPW8anGppXfUC1vzqo0/
ylVEKWoiUjiqAmFnFlF4JV32tWFN4QqOBox4C1jYIdlrEbFUzCMMMx+OVstGTAfC6IV7aWm8N33I
C0yOFAfXRds4TU2QqiBw7ho89iFtV3zSYY5QxUdutIuZo9FX2zhdOtYXDgY6wOKvq1MIeW7PfP64
+OrWGFcWHOV22ukeqgPKl4pHGCIyJOTUJ5B9GEiqdFm3r6jy5SerQvEkMb0iVTyRh8Vg4pc/sy5F
DsS7hDEUbN6vyNDge0+DEc5qbFG2cUsguFNTfcMISwq+lpboRVrn4GqxM2FTlKWEoocce9omaBYR
mUIjSASGaQob52PfNlk0iehu9eY7MZv7yLZ1oZCEqbLGb24w/0YfMCLhQ8v1i/YmvtM9bLAmacbr
CnH3LJijvBmH6BgtFrEHh077uJTk3nfMc5V02sldbZBF4P6MKF1l+q8W74quDqK4XDSpivmwd6rl
0XMs3DrOosydkpNEOgijEBcPHrABga1gjGJiEtI5rKikdE4OQWYpCJ4mSIkZ2O/HdhAnKuQtwnmZ
49BrFX4qqX82XTS9QoJ/t5G+mokDFm7EILLYGntlMOvkkCQa0M0IHJDV7pWPo/Gen6eJfAwYDZJ5
a3PtWtdLp4Q+rzBx00qs8cZxfFMU454wDebYieUOXOsVYlcYRcSnYKuIkaWoPLSAEw/zeelmVK5Q
Xkf8ulR+n1EVhDv0GIDbh/ZiHPbQzOUntzNvPcHyELv9hFjreK6s93muowgmBXrySXVs5xkP/HmQ
DjVB4yngJNPVa6HnTtcIQr2YCBYBQMFbuP9x2rVUHuMwxG9q9ImmRuC5193ZCPeAKQIymzALVbjd
cAHEtyDtKTBMck5yPY/vCj0fvF00Y9yP3oB8t2HRyRlpYf21I/QoTfiK4QHhsWqRkhzXLxh5hME+
3XzAh252HEgnBkWs6PjoDRdYZZLOgWZqszpxOpitHoSdCOjhgLxNhfFQlb3DQN2rxlfoDKrmi46T
A5XBjcf6vUOGPcNAH5zTbG48/H/4mcdVlanKfKiKokyxupi65ai3jJXZ8nOkvsMQFgd7gcmaYDlz
3dy1iGd5FX9sENfikTzQLb9lEORqKp0ZH/EnWSqatgh7lRgyBdgR/OaMIX8+BCD3vdwyz9jHEH8G
uaRieDBADVgk790tJ/13bfRdhyX/Nuf5UL2PfzTbefurH8XRd9UUT8oE0A46YitOfhRHqJtgo9Ig
8PBYJpRCP4qjIPkHxYhC0HsYOhDggS14wV+KI7yIH6OzAjL4nZD/CyosHu/02+KIUFRFeC3Ys9sI
6s1r/al6hr/Tcngl7iXA5F4sEqtAz/apY9/cBOZGiXkbkbyqYrgVlU38K9vj30efXiJPXszQ76KY
3TfGfFJqzYA8z3tV81c5hvuhp/eBjMHXQGBR9M1D5CJtZl2stD7rEEYZU2BSfGae+lk+IuExpCZx
m2wYPI09r38rRZVHoX8OsWEC9vq8crQTYn31iTNk7axPHFBOMgsKRqs6KAOVVcj1FfjNwXJ0x6TW
tzPlb6KVT2vcXWEwwSsAzDatQ//DsfJlGM1z7aEiIgbaR+LsVrreQttAchJz0jDhxGQWAHVcwRcO
SkiLmDx2xMjHtHaWOGWS7Ong7EY1YYtt42dM/puhSC70CLkFdnJJzsJtMJHQOofIwpDEhILyYHBH
Yrre0ceaa/vo3vbmHijg+NSEy+emh5QbDfGJcfcFUyYwfqIDkuXO16zGLDTLqFOEQh705AhMmTVn
QtQxgsmWAgg8Ld432GefWGmelhjCzUIwnXeN7afaVduksOC6oeQ9oD30stB7itZySK0L2sfB0oqR
gJCt7RQh9rkchFr2Mfr3HhMijMJ3xliDlD8wIyw8NbKA4w2GKXm8KBE2B6VehfNZdyg1V9K7+tjF
MSs0BW+EUUgCPnTnjrTwKwK0TinQWZ+babAgd0JfY/KXO7fpHKAqz1q/w8iBBqgh45iW25PkujXD
ULhd8FXycYASiYQlFGme+j5o/MC6uV3V16g0BGLL8LHlMzABTeSLRKdJPeSxWFjf07VfzjSgNw5H
wQzbCq/hRlBI+GszkzcZzyDN5glZKWiOCUZv52QIv4leffjL/L7qcUkRi31mEYjxIAiu3Wle0lr5
5xHceyGsDgoSTrezj8RvkNQHwsc3pIQxe84hTRGW8RvMR4iiJBJpRO03rMk2lY2Fb9hq5DwqzMRy
RcKuG+bcsLdmyiVDWmAW38is8rDF9SIZSNj1HEm5F11/NwWCF7yen/ptWkHUsX3DS2jsYDKZG72U
KJj2If4l9uwLW4c7eBfZQhwFBPQNsyAVDDyng2hJ1yrHS4EJpnWO7KaD0RINwg9cZc04A6qyOOOC
D/cGZeSx5ohkRPJmRdR2lv1HBDMzawjE3N2w1OPXv/eV7/uKix70z3vu/L35Xzfd+Id9N/7wx9YS
/COEeedGm7CzJS1/2loIWmhMtUGVnOB5XgS7zr/6bnTkrgvVBNkEAtkk+GVrgfeHRR6RBbTwwZa+
+ksY+iZZ/SLLbAafF6LB/z/snddy5EbabV/lfwEo4M1tFcqTRW9vECSbDe8SJgE8/VlJTUstjXQm
dK+IGWkmuumKqMzP7L22DRI5sOxfd3M/XSx9NGRdsVQmu5tpr+fphRfna2ucfy09/nbJx+jwD1/o
a/4TKGGRYaEZQ0Sv2v+fvhB0ypyuI5fXWDLyQw8Mzd44y3AsU2hRtRnnkPk8aqm+vgrm4aLNmwfP
FLDbUFOsJYzHTS6M/DQKB4lojdDWmvt0pTls8SIpnmXXNOvST/AXqnY56Yq7hi+4NpviutZTlIBe
xVS6NdvQh2m2tuj0aMX8U4tRi60j0gfwYWHguLSYebVFMr/FXdaHAyuLsEOM33j2k+Z7lwxlgxU/
5nNic2uMk3MHLfVWK6ezpjnnPtVH8KKUn7CND9DOzjIqgdUHxgNe6mKlx+MYmsqpPYz9DdC0Lejl
p8AXn2bsvcbl/CIWuDn54IEBmNNrR0QnFyDY1vOcvRtEYtclmLosIR5qN96nvh2vC97tjGfeK+5T
VLt6E7rjTL9VT02ooWpeFXZdbY1+eTXKEhGonV3ZPmLjuQCHiLCwdfPXwTMeRBdf1lM5rGpjvvXa
YecE5h4Km8ZgAZKltK2UgTbQysR07rSZQIWyb/21F7wGfbnRiQ8YWvTx3WDnKx6IEGyUx+8v2+Xe
8N2fMd7qrnOpjQM+9Iq5BlvdtQEk35SIR2fwETIxWO4YxTX0umxrWXK3lPZlHCMr7g17F4y8tonk
ttRcZwybNnitGB0wAbpFHTuH1tI9pi5KmhiS2crqi7tODgdyHcZQWPqHTubGKpbzY5Gmzm6ylitz
QgrTJdkIdE18MwrzmykLKA2TsccacEArZ4BskDsGQDcldoLJq90Lz1oqbATVx5I1z4nXoX5163tg
CRmXkZfv5WDtmHpgUYuUSBemGo8Y8hxb4jHAP/BWZXUstouvoXp23Il4A33K0xGYv4DiZ8u2CnVP
bg1fqmZOTMei4B4wZ2OtR8ZB2NY3qQeH1DG241ILrqa8GR9zx1ItJxYD5LOpYiBMRhrmmXmwGntv
ML3pdaZdfvsG8uPWyLVPtgPYDbHx1zyNDBnG+ynuerRAMqxlbhy00mFcIscLX0DQUAsTJ83p77ox
VRZm+eJmXreZ4uYyTvVo3TUTmBEFMewumiwPx77bS9k/w+jNWFxm6zHTYT3Wl7nLW9aq8mtEcdCE
tMNSMB1K4iTZLNPMHG9Mv7kS8m4mM2s1DcYtVFH2c/1nDgyEcoqW222epdgg2DsktgAvqe1n13ub
Mv11cYg/IY2kW83Fa2HfjbJj+DEcmzpeFRpXJDttc6ur2ZbdrxJYwtKy9yMbVGEkDJqWZtxZXtZv
dYPxWzzar5VtgPisZRhpAvuDbOA3VVdzLV9Ejb8lne1H3DdU0BoU23vYy+vYt6kg66/d508XzF8s
Uv6kqVSnKNeF7eKfxXmvG3/WY3RUZXY0u/O1JChiZe+i43RXX1KhrbS36gkB/YFWdxWdcM4NYbaz
/sfOQM1gf78t/vPllaPNYRbq0Pj/8RAXEbYZzR2W69F7a6JDoPd4Al61+n+lzPzV1zF19iyGqSj+
+p92E0HPnZUCk7w20gtA7qui+Azigxy6/7GU+OPt9+vPw+vJHWiQC8Cq9Y8/TwsKzMG+ql+7zkm4
V43FNv1/Lb9s9aL8+UX7+Yf50xcZEl3vzFy9aNvuERXgZtzr3/xQySwvS56x1S2Qs1W5NfcPZz8s
VufxMt0+dptoc5Md5WoP9+2iD/mLYb3lv5vH//FM/ffKyaRD1Rn9Iz8KyFL444tQAMTGKKAb10y5
z9EN2KpL4yk+4tTU1riCV8cXYzetz+1W7h1nXZ5g4dww/tvKVbH+t5D8tZBE0vT3hSRxF2/jp3jr
/mKBwwf+Vkgyo1AhYuA1LJ1//Dyj0H8hDxpF9xeFkbPht0LS8n9ht8v6xg2oM9mv8Ec/ZhTeL77a
tSj7oYrJoNr9BzMK3JN/eM5Z4PhArUh1cQGEmPhe/1ThVbHPpHv06ytdL+I9UKhdEsNMEpZEZzPO
QCXM7mIazHpn6WgFgmm4rjKbGX5VvgviheDUdXsUlc4msMS8jqVrsYpO2jXbgwWdqzRxtqNv8Fp3
CUEMlddtHDwlzoIoVVjWetKXE1zjC+HYe78O2Aloya6dm6fIj+v10vqXi5iBWdT5uB+K/hiXGYWW
7RwXP6Vztr1L17QfYqfB45P6N4Gk06pEis5cvLHXhEXkxI9j6TQrCbsQwzhyoXxcLt3Ke5oi+MsG
ComgqJ/caTwFuXEhPYxADig9cFJrULsPlSBjRjNApkfy5C32bVVlWyPWXsx0WsdETCFp99adaC4a
r342fffM3AfjvjPtqDMrWj77rS8QilZTQRHkAQN0lwQxT1GElphUR93OG9+v8I+O4ww1v7wScoJK
EFv7OjHTFRrlsywYE8WLNHZIEbaZ2yK9HjO6VhKGNHO5tiL3w+yb+3yYt9JnEmzF1fVku9s5KQ8p
+OVV5HXX7uA9JG0Uo/Wan92U4i6VThOyZszXAAvrrZXOHZQxj53cciOmytsaSXGcjOIzURWu35sP
biIMcMNmtIZmdJWNnnkuIm8/+fFde7aTg4veHVT/yZ3RaOCj3abeiBiiBa3bMwHrrX7cicF/TlzW
MUOLQqmo051R4tjKy/oDR1gdZv2crczWwPSOMU3VQP28T5HwrchBehfC+kSV+MnKMN7HrX2m3D2A
AGXGQjLRJmPG8Wg5OXz12WcuHqXrumoR+riHwjEgeSdb4ceIpYG8b+YJrYwZu4xkhqb28PYM/UaO
2k3ayG/BkkuBugJsjI7yfGntDopMe2RIZq65hvaBqxTPJkFmFRPHkGjQvakE7VR4b+DH71Md/VJH
ma0QNTy6PEfBU22N1jpR0nh2U+0mDeJpQ7ENAgfELrsGxPTwx5AXOsVtMBKjYkYWlr4EN6B7EY2d
gbMNUX4R0155XoESDMnS1lLifZd3+lZTgn4djvFpNqsbsqo+LCX671H/+8oGMAGVPzQdP0uCkmCt
LWi4bVTnMeiNuuadkilLASqq6wiPQVJSdzXKduDiPygq97XHj9DVN6nN0FFgVcAWGR0mtz5PQEZX
8BqOgVl/g8iInh6jQ2mXzcbLOyYgk5aHjfJDSEe5QFonDpNF2yFXz5ZXUxkoxEWWHQh426Q1qVpt
xGMwltHbrJwX5txeRsqLUWHKmCiQK4OJyoxdQ4vzz3zgLWNWNc82lo4uaA+l8ngE9HnAmIt7wim+
B8oIEk88d5byhtRVvLERRtFPLf1qjNvqQjMn59LAVaIBQj1PI1Y94hiyjRcsUTgpG8oQRfU6Fog8
EzlejiKHYKpsK0WQ3iWCp9mxYwr+ggmSHfEbBwFPkMq83ACcdIEYQfnoynFZN/hjLKakjGN5YyUL
EWWastFA0om249zDumh7e5/w+1Kmm5zEBPy97U1pW6cCX44e6feRkn2DlzhGSgiOqGxKV10tRHbV
TIZ4zgPwZBu3q9xs3Q3ZaRhG0Ds9kA4TR0NEL5el3YsfxIn9L+DgV/qyKmr/vibYFP8X1gIP2F/U
BHzgj5qAeFF4W7isLJtuGoH2T8Ml4xcyQnSHx5IEUoZPv9cEwS/MlWAccJ+p0ZK6yX/UBKpcMAEL
Y/pTNcY/qwmwov1XTcDnoVvRbUw1EMP+VFu2cTQ5mjHiAbPrR6lMICNuEI1x2MrLOnFNhAtWERro
Z8eGwgsLp131HvItv0RU0WljdVxixBgkVgnaX/uJN78XCpCC6wb60Hax0S+UKmyBQQlqZXuoN20U
QA9W5pYMlwshFcyCJz+BxOc9BKhK6TTxtC+4mzxcMjQJ8V7gm+nT6SmSUPHGrLkTtUK9YovdG3r8
gdX2frL0E8v5c60zhAXZaOD5yozt7KCAbHDtFDLdzcrGU+Pn4d54iXrz2LtNRwgGKOoxLrZIilEF
S3SlKBbeXZHDCFNWIUHgxjaop0+3dj9JJstCdvbwm3EYBZP1XJl1dYReXAPN8t/MMbmBYQNnOGs+
gqq8yh3Wu9borbGi1/XjBKlwQzuyy42o3jmN+8YKdhvXrCojzrjFKT/dwthMeGaNumh2zOi/eULe
SjeP93pAhkE5OiReSHSlWaq5m0GbrrxEWqs0Nh/TyL8cLbIJWXlhyzX8GqiSRDhR5btilAfL7V+J
eIBxb/XdbvC7q2WxJfuR+REKsvSvpw4CWdNPCwtm2uTgAsrL92VIcHdzJ2+6jAVBPbHGtpdi2pUp
lVmbZsGhaefkxsrNB5atWIYIbtmbeLyXOLdeFt1bNchYg+F+cIv4DC6zOS6oTQH2a/keSeVGwkgy
uJEYPPjcsJQmq1xPH1XJgm5g8FeWxjEJwhurmNsARKrJI9K0+jrOIhhOoBxMl/RPDbOezDDaDQxL
C/doDxUv8VyGUTY9NU76zYNaFGm43iujZWsjgGR72vBmlx0Xk229aGbxysjNWbH+2s2BXWNWzPam
TsHjEQY6DctWM60Kq5+/nas8ZG2G2S+/cCMPZgLxbIRR3ZVL9Z2Nlb8hh8dduQ7G7iYnt4Rt04fh
as9sOKnVptsi6S/mUbunDn7taaEZHAb4j7RTO4mzbkUPU5WdZgmBuI3Mx7gEt5mI6J4wolOf8Qo1
Zky0ZsMsK/eDc2XaL5EnH1BGLqsiBrM8aYzZCJ957+zgVorsHDdia0bKJumNV9Kwb62Zn6WM0hvR
GQdYhGvbZ2mGQXFw5anRnPd47h/VCDOuHORFjsJ+7C1RrhodR1nezc/O4Pu7LNZYB6bszDnmgBG1
GvIspYGICNRZj6l4Fl15tILxMrfMQ6Ivj0OFXmcksWLdWvLQCEfFZCnlklbcIu95J3cJLUBeCES3
/o7lF7r7tPc3ULK7DcFK5RYl+36xKZmzpsyIPWnWU4eFzUS/pE5cTimjhlcwXtcDU0mz7fXtMM43
sY55z4BXqvMScCbdWLN7mQ3Bh+MCkW0898F0oYvZbba2BuQo49wkGBQ44kSyoK3X78yg2hZeQtHa
dCXgjvoYGE6xL6n0yN6lci97d+3yvA1LfGfo9rtXIjmITf8Sj0C0i2NN2zLTv4UTJtBRgXyYTe/d
JA1nY1SFv7LdhkBRcmvK1LQRjIOBQPIg+iW6y9olW6fCuK/SEUI+hN6PJtHg4o/jBvTerUzTJxhV
V8Az9qXjf18Yi216mhm0RDrarhaEVto5WrBill4+lYjm4svFjGegCWO9wex0cnxxHyhPmlDuNDLL
XuslDWgiRgtQ4/IcjbjTvLF7d3vWx8sgru20OCfY3izsbxM2OEP54axKHIvF3OQxe7uhd26wv13i
roA0rtx0GbY6H3udjrUI9RmOO9jjOtO94d7CjJdG+pHsm8dMufRyNvx8N8tzoAx87fxYOvKmkdk1
zwMvAla/Esvf4lA+9UqVNuoQ3D1aqCno7yqMgobbHcnQOtn69FCZ8NJt59rFWNgEdrXy+R+T8hx6
hcuoVvkQAzc1Uf3gTax0/IucsaFMm32FfVEoH6OHoZEFLmBx5XF0lNsRyyO+xyY7LMoJqeXk3Xx5
I5VLEuWieUBvlIaB8lDWyk2Z6yTSwlY0VjGgEgST2a+Ds39ltsp/9/dV2YEUp/8uyNTH/FaQOb+4
NhUZxQ6Ji7rCR/0QkpAfzhqQgguJ66962R/bPgtyqgswFX85W+mAcO3fCzIHyjjGuP9Y/NVo5x8M
acjk+FNBxugY9QjfA+0ykhVLDQN/WsNZSdGAp/f6c5m7ybauixTsRYnp6YYNwDJinAmSaHE3djLq
CQ/SmMuNY/QmzEPLnCu5tufUKk6tn7bzFRe6Aw3VB2YkuNImt0Wg5ZD2s2PbVoI1tMmOhhOsRdlo
huSe1dXrItzBvvaGIRAVwZvNiC3VcWQ3rQ2tzbo3b2FeQKgWN16nr6dJjEGHYyyBDtQ1AdQ9PTnE
aHlXrZT2Q1uD5/Z5V7ZDjUrXzsmcMlo5njA/z1vTT6uzV+TDLWhm+a6zUG+om5L4fbTFtC06vbzA
k13juaqjc6ZBC+IOTfbM3hjM+tKabwzPxEU/1PISsI08GxwZoYia77X0O+W5NsUbqjGW8L1NBlES
Odw/Ttbfm5IEaF5B58NfimA3JoXEqsaukuNuV2i2desvOiZfiyymYtBJbPYNdGEO+BKKKB1AEeXl
Nmc7u7Ubo8EQ3lFX4RME776M/Z60Yt7UhuLqBEFivlpLs1wnywLzJDcH850sWec0tF18mPOse7ac
zqK9M9nzNjhsFr8croYh/+AlrQ4tcL87o0tR9WQspS9tmQYrB6bCeYZCHsazk56dtOt2ATJNMF2B
f15aLC1lW2Gdmb9SLeL5w3an4oJztnscynqgb84qKvjUvERZVSwrN4HcNAdQJI2pdW9wrkGTaZ3u
2kqtJuwHvT6xDBhPsFqO0VwuLKs0f9sSRvJd2kmx95syPk5kQ/O9ZZ52mUauzva4Ywlbz6Qq9f3g
4p33q10To2i0KWBXJINgNVjMIDoWQnMfuSGeKODNC5OA6yu+/Wir5awYu9q0t70Q+tW8JCzcQH4f
4rTi1qMsxBfWzLcJaSIMYFRqVjpMm3hcom1HlxGH/87Af52BI5z7+5N1V3xWfwGdVbakH0erafyC
LAiZxBdc+quh/XG0ksUQ4LTjP6gZkOpxfv5HSIFGjwYUmvqPZveno5X0It8EVM0/WP/846OVz/TT
nof5N/o8mmZ1tHKCfw3hfz5aiTHzzGnwgyuzRIeUOcbS7MQXX9/SqsTcOAkxWa8Uj+LG+qLxlwrM
v0Dod7PgQlRBviaH5z2n4ptb6gyzj7ezbXPFN1YxqSyC5VBNVrsZxuAm9+V3FbSFXxEyxWDuNISs
cZeGsdPudASuPkLXqdH2GsJXR6CsVnEjcSZvcqWNdXsRxsLdw//Z61nWIAGXa/TVsDcR1iIYOZuL
HoLOG1jKo70d9Hk/KzVupRnvGfJc4HvOQfjeM/LiwyLkBwTsS9IRCkdJxN0XRVglbgUtlVN/itkP
c6UEzpQmGCZ8e7VQpbKvrdbmaOxbBMTAOMe1VJpiIpIEdj50xrrl89NWcLC7enkqESQTYKwcnWiU
hVIrm8iWExsvgDXEW6EUzYbAOZshcvYROzMswDuu9M/At19KBNFDlt0lVX1FjBziESKYtqVST+MW
OUilpw5SDmGD1XeoS2XNU7rrRimwBwI319hk2G3PN6WTHzrm9SB1s29zibBQV0puIlHpclkXW/H8
Rr4G2A7D+N6b2tFABi77+SJTuvBIKcTHL624Uo3XSj+O5EtjmtqDMSs+S62Sz/w+0V++LiVJcdwv
zB2RJGeAu6I7qTTqgpiOLmRD3CaMGqth2VREBuG1Loo6YTrY5wFTx9jxDkXn2+AZgQ2mZOhMuBXa
4NIE+X/08nrcwUipD7wujb6x0XPuksgP7iLU2QHQZGOiF60Xdz86s72jj7ILOFRAJA1owQxQKmFe
eEUxPPk1WDTwNvrzv8fh13Fo/X8Lzbu3D/FWflb9X5Sb6iN/OhMhdPkeHCgP2TLjut/KTXVcMuBz
fvwJH/XjTFTZbMz2YDvwL7RYf5j/6V95Mpba5qkT9Z+Um3+hW/Y831PfHRNAlGp/3i3jgK+6BbTx
1VT4+toe0mYLHzvbKDN46U39ttNyzCuTY48vMitPDVkiO5fQHbXlSdcRYbdhVPnGbRy7G813SpT0
FYEZekpia7+8OZG5nIn5/YSG2W28jNzQpojurEFzL6uRJdnMvHHbsNE540/dZHHy2CdyI3WSb9PA
P+ILOtrC+J5P86NMyqNn51dtIVhjmfsgpQkPMqKGsR81YVYYUJ9mqwgn3e7WhHQmK26Bz8yzH6Sr
veaj9gnRsw09qpf1JOdpVdXlt5YEOY48Df3NOIQGObGQSSWI0MB9nxM7V5IzgwTJkbXB0Kch+s3H
pKxvTDfeEM+MmnmGItEO/YgPeTfEqG0ObmPdtp17yTXyuWDgnqtr1yCG0RL5mc3OFi/9U9laeLGi
D0rQ+5HsEbw83+eY4J+0MG9Itp4p2xcdc0/3QJFjruahJ3ukSAqSnosJYRBzWuEybIp7J+w9ae87
QvbWVgG0AMy/t1pqdrdlysSzi7Jgo/XKXgd6KEcBtCpJlRsGLbt1UFWFE2z0VTbjjDdShFtOrVmX
mNdT4qEJest94BeLJkCLTMXK1mp9N0zdAflLim6rx8elMDXDF7Gm+hopmGq6kH0NGoqvoUPBFmSy
XFZGUwpFi9EEHI39xKgi6ZVarux6j0QzAmdfhcrPKosarWFgwH9NbSPaEmFmXHk6W9huCYZ1TKez
bWyJPmMx0wdf+o+C8fCeNfprjquNw7RJryTBvET/Dcy8Zv8+qJh+EjjYIJLZFUT57jn8H7QBR9qg
S2szReBtR8Jqb9litZj5zeqqq4Kw1XktLa62iXSJe54AJHMg09dZW0zXtKMQRgbZgKMY3zvq45OX
myPjn+SzMZIJLd+ss/YzzppfR/0KhD0vvWOgyeuHvRgisTeFW9y1bltcjbVX3efm3IcNQ1SMOkCB
fJC+vctYeGBtFVPTT24FlJwRJlTSoV719Xwl+yBaa+yX12VeBxsnNeWpR+26nSnBj/2sv01Rs24T
EEizDXUCDz5JdU0WxnYwYzqztYOmBcjbM4mYmu1UmPp9RdxOnX/kNCb7YpAtIAb/mMsEr8/CHE70
wWKHYmkYvjqwW6VlRBdJbPmXIPMxJ3pIMAsNDRQQsDArR0FOr08Anll1l5oPuLgD/ImDYFp+FbL+
O/hQiZp/X56z1u7F2/8RR96//fcARH3sTzeSA62IMcZvaaE/VemsgJAs/+4l/v1GMpQrOXBMk2xP
FCm/D0C8X1heOUhNAVGCakfy9g8GIKZyQP+xSsfjDMdIeY3x8nypaH6u0oPSWwJUo+NVMaYMetcC
08OxmAz7WOHo5bF3oTtnMcv+SbvwK1a+mVPiAcncMKESpbDKEEr2p9yf7kZ9upgjdgJN4gZI8H1S
ktOF8Pn+UZbz2Sutg5OyfSpAmLbsQpppYgsFqWYq20O6sOIukVWS4cbQ0AsmugXru+XH/Vp+hZuk
OVuu1DI3bIp4g/j2ljLNJ8qLqpwsrpfZ5VjvCnveUFaXoS6ae9uFzmYPGtAOFjxWs0Cclj38CFjZ
ooqegFDwJnGhDRLR6KTy3R3yVRa1ZYiG/QOiGON0N312W0R3ruceWJythxYnqFabz25s73yvWdYR
HNqEkCvOrXJvuqMTjrW/7yYCeWabJgFb7/tcR+9lP13pNZJghCYvKculdWnnOyAKB/ynKJInlWk6
4t3z4+ZbrNs4G43quSEtEc0ARXfExe6qGx4y+VvaONEJS6S3Fg5OF5ydG01VBib255D5TbJOobmD
caOCkDI/GU47spFGGoSFUPRbpcxcbC9ll+7VW1Jf4Zeo88FPmOzGAWfGoE6PWZ0juTpRfHW2ROqU
6dV5I7BMbbS0Ruihp9Gm0rv0hCij2PmB7O9MZ1wegUsyzNdJGc+7Qr8EvefBS8rzl1qAgaO/cJ+R
cJS3nTDa68Q104NviOmiDSKEBXNRQ7FijU/Khp1dRLJqoo1WTxeDWApG5SUZEpOfan4oHa09VKZO
pAZZJIlKJdFnXvhd5ANH1/CnfLd9xBylCvCh7Rg2ue+v59JEm52hbuKE5bkRxMuTANQT2TWRCNSy
l+tICNJVVJDWDmehwoMiFSPkYaNBMEC0kKdChmzShuye2KG21NeZp4KIjOAURWghchVSVKm4IlcF
Fy12bgC6ARrkqVij+ivhyEzvvF8jj9z8slYxSDisx8eg9P2DWxeEJKm4JM0nOKkjQWlSUUolt8mk
wpX+bS5+nbVwfv79Yb7Falv9RWOh81E/jnGG1YwZwXQgLfjTHNtEbEjUG9oBV+dvAJj7rbHwfuH/
k21pfBlTvkY0P4QFDrlhqAzxQ3ImI7n9R7QIT8kW/3iMq/sggIHnGQ7KR4tv4udjPGe6HEx95J0J
/jvGfTtWl700Z3dNMdA0NVatYdn5suvWZVLG02MdJERe1UGFGbvPkpfJ6u7KpJ3DpKty5g7DjjdA
iMIczb1emTy1Bb6zIHu30GyxbnLSzayBuKpIcYeX0eMA0F5qWd5Ch3iSA0z7mx48wx3O/X2AX6zy
IkzC7KNiWpVzTg8jV+3YQiLQ4pe56ZPrKEpS9zopZu/aqRgmr23CIa2VizSxDp2o1Kt719OsbcS2
TW7IoYn6q1brkvRxYJ08glOVT7kZJLAw8npPr5LNLJLFpczsoxycWye2Z+zN1aO+FPeDzaSkTpoP
RuIlo9iBs5mQNGjSbOWs96TKyOTR7LM7mMgXp8cBpNTaQtagjVqolSyyYiXxs5vGCCFTIzyqPFvB
y55QlPk4IHJEV84dU6krJgnkamrpNzPw7svB/tRtkNVdyYvi+P2NZ+VscGnI9pLPj7G0yV9nNQXP
ZbrXF9wHrTKRlIV/3xaGua2rnOAmIipWoMX3CSP0ahxFWMoUdBzQJKdMkNoJb1l1el5tTOpm1l8z
OHtTYdXL9WIlnEm2ua9zLBSmn5NAM0/mYR4N7C+D/k2vg9AfYOprkRMhn+t2hD29xUl9Ys1z6iwi
P1Of8Yy1BGQkM6UKkm47Rdo3J1i2hT4dmqg5M0xrVqA+wkYwLSkrdcKyJuhrPAduKqmptfJDJsHE
QV8980j3ZDOOHqsGBCw8Xje2gQG39+tz7xCwYy/RdRFgEIoBpMaJcRs1JJsP7IVX+iScNfCObs3z
Bq2/fh5AYVFx98ee32BPOhDxbOmOnpqhu97Wm6WyDyVJU1PrPBldfw769B4aO5HfevdYxsktmREp
wrxhZ8QqYNwld4iFy+3sRfewCm6WFi6ZNLgNiY6LmZGlGEZFdD0QKz0XEQuLSfsQrZaEut3ku9lh
1boYASD6gYogdjqqBt0OwYkvx7rxrjK1m6mxvq6bobLW5Vj0sDXkBQrUb8TcHdPBL0iZTS/drKGY
0L0TwXDGTifzHIJ+uzZ4A4S2kb0JvZGsFPqrQNjPo5boa97qI51mCc1osL6Xs4p+aGpw8w3ZEx55
qwTXed60rOyqRr+Wjw+mXKq9ZvN0RkqY0BXpZzGbCyte79mRzp2JO+cw1hiVC2EemDVboeX7F8kI
68S1sT/ppW1vZZtdpbEbulp+WxbjOU54tmXi4S/O8k1aBtdmXLVbt0AVIxuJ50rgTG0r914alGa6
0L9Hpv2qW8WHbjmHVlpsq+m8gbmZn3anPX4lYZRl+VjK3tyYAYmEc2/sUrd8qWf75Gj1jE2bPFIi
CT17cm+szG88gm8Bos1J+25JOIimQ3qJokEPTnvpasrlnaMRGpd3YZkvrR9Y+0An1rQJvOtlGPFU
9wlSVIFXF016tSIA8QOgbHfQvZ4xag/MoNGL/awTtzJ4OcHbifXauPZdX/aECCY+ytghkqEYMEdl
TVPBF9bPI+rYDX6lz3GZ8dQ66CMycwzHiPyoPK/g02HGXQVDS6osnTPAb/mBaaxcG51t7fVIOud0
clJGqO2Emc9MQstsb2XFGn720UQby7jJ02ri90RIRwzFLXUyUG5Z0gAulIe5jF7LaiLNWLPLjekB
QJksntZGZB+uV6ElirJl41TRNratee9Woj3Ujb3NEVCHiecWW99HvsR5uOyqrH0VIPkqqIGxjHY1
whP2nakLzZkl2txJfYU5jtwLrSJ/Axz6jVuZzdZrjUMbWxcU3Ki+y8zfofYC882CgdiceT4mw/At
h269TYBnHs3GQqCN3pUM1bjaJ1W1PCyy5HcjZ23roG9faUhUSMFB2un0I5OIiKG34RNh64ynuAiO
UbCctHQp2TOi0ony5UaUEfZtDyKe514sHXqlZEBNjorluhmS+8rEUgeEr9g2FmqCIdEEM4H+w21p
h0qMrrvJx5o5G/QrUJ0ZmxfJdZ+yYYxYHeR1Ou6aZjkRRX0BFzwkTvd6pIbeWFmrk8qMaCz1xDlw
sg8fA0DRRdSYXkC/72oOUHUHCLM/b6gqMVRBaVzpunw0hvytzrXrQqR3ORDwNWhZd5MJw10Ju/ks
SPqNydEhmsUmpzq1+ZTAcEJZ6C9NioZoHNJzFAyI0w19DGUronUd5afKJ/c6m7L4sU0KWN7Ri4sk
aGXy1vWK8jv0oBfH0lZO0p+bL59fX36w6Q02RsA8PyiLR7BtuFhTXHympt0seqOHUP8uDXoW+FD5
qaDfWtvcqY42coAZxufkd3tviC58poU78uSOrISYBuUam6PqqZzFeapMJP9zWQIdx3IfiWPbGSen
KL9pjf9dToigXHSAVavtoy77xNa6ZVHd7zqCVLqGP5W19ki+1MUSn0ryj8TgodXO2RZl70nH4TvS
zmbCO8B/Uk+NH4PRFMelk+iPcn49xIKgfupO08LznII33GIk+rQw+a8YKt+lWcxf5gAfS8AmQq37
9ZoNDG+7HZXbKxXYIZ2IXKXSWVm9e1wcKAkDkzPQCWxB5JNh8cmJvqAFzk452sudVfYfNq6O2IsI
d0Y3rXuEs1DEGBYXXlDFmOUNukyf5VaePggp2Y51OozFpr1u0uCC5FX8wXgaBo3Uao8tHE1fuQMi
8//YO4/muLE0i/6VjtlDgQf3gMUsJhPpHZ1EkRsERVLw3uPXzwGrWCWpTIf26kV3daiSpJiJZ+53
77m4q7SZmtGnCzwyWK3T1F9DvsLBOBFdJXJym3aIpprN3Dfg3ElrYcgVU59PD9VO6sG+H6OvgTAp
tOrtyyiiTT5tagcSv72pxswVlDcp8V2QdISZDYP5v21uoghTxSg5yOjTF93u11bvf7Gt8IhfgKZp
Tw14s8onAPHAfbQ+MtmIu+rA43Pnj5hDcSF9EoVkOMQ1ua5W9lb3k60GbqtrYtez9eI6s6oUTHsW
WpjdDVMo90GX55gnuM9We9KsfYp7s+/sbp0nnTJej7w7mWqGimt45CL9SfahazvxPu/xsg0x9FGc
U5uJHiaGWspakRGF8bHSr0Mjd400bl2vyz8DtGHqZHclLjZfrBIt+qhX2W2PEWBNTvFrGVX3RohB
JOXgpXgUDzqmswuk8cSw8GoIqfQJJCSNIKRji3NXvYxjA7Gg78SCEkf0xgDaaqyysdVsabx/83vH
2bxFV/Sd4FhWwlgkheEOjTx3TXhxWnmchZ8FvVRPAq5F7RhH2n453eTFF/YWIGtJsowzG6BtaOxx
HbzSI5VtpkglPdPZW6Nrr8gXQZcIaATnKrHgXNO7lpe9VH2KAhwwSqO9nB4q62iUyY0Wd6usIQpk
pnm/Zd09Oj0B4BFiaAbCawvLFRC9xjc0K8J/BhVVtSCQXE/WAtTZptA47ToifoxLWCjBJS4QZEyG
BAPiUcVsxLG7s8LNHKNtc0nN6AVcHGFAQaBqDM+5r55NZ1wnWXc2tIuF4VSZUO4rxd93an4f9/6u
CcKHRjYfCycnAIvob1ebwZK35H2XnHvPY6k9hgU9vrXCypj6O3iq0y5qk0d+wI/BbFCTnAVXQVMg
eaTKo5Hm3X06df4iL6PDwADRrbsoR2KY4EeOBFos8bnoEIaj+Lrvs6e4sAlp1Q2fBOchMfNjqAf3
aY+T99eF/u1CLzD2//OFfpcWr1X4lPxVmZ1f98eVHpz8nBrGLmrOHgn8C+/KrLA+CAAVEuvCWxSQ
V70rs+DpdV2qSKa8UL7hj96v9NoHVH5u4NSB/062+AllFonghyv9DDdC/+V8q2GiAIjx/ZVeUqia
DUo5ngada+bc3AVtoZDgHL6q05SZgLZp9sjxKnAlmLa5Fc9zNG+ICKZYRnzjaTyoNm5UJi+dHOEC
as8+ctYyd7wn2BG3sRenVxSpUg02WdpaNxnoIVZTZmRZX4PChrecoiyKDHYg5y99JWtiXY3VS5JD
wjxOPCw7JUsaYO8cVMflYHFtjyK/Oheq4M7E/sPlKT7g8MzcuujHNbSKYtGUdMEmcBmWYCC4DiJd
nI1u3MdmeLTzxjukYRJTJefwWGMPoX9Mg+0CdGBcD47keNsQLCv1IV6KWBZuOcBDLu0WTIChPCRM
rgpryPYyaO+EFaigrlmk2QwKZpSjcq4i67nPmBKWuRQbtNWvUxQ9suLjLjY6ke56T3rHwojGjxx0
PG4mwcmvdTwBQfTa+JP2APScSyCyxLqzEuabdYItmvk/5ThO5hywWYuV1avK3igG9WiGWbMJQUQs
/ApHViXltU3A7BYS+K4PxjulIMmYG2CZVJtSPIsTK1gL0pWqgcSew/Cnym0+S/S4TCiUPIqgxUU/
VoH50BU+t21VB03ljaLZQCYcsSFMVWVVl4D3rgOaGZ5GgbFsofjC47YY8ZWcpe3QWVbYTonkgPfB
3EGA0u4UrU1oAOviaV91mXMJsWOXixwMFddcfgnexWGDZIOKna+dcOKjhlYg/HS6ReYWg/tr9Xpb
vcx/nS095MnfiJHza95XLqwM1PViRxAIjw714H+uXDi/8BUwMsJ0q77BcP5YuewPcGZw4RJl4jiP
9v/nTAlxU5ChpnYVY9ibAeInVi5ytz+sXG++L5ZJKHASmLYzi5XfmGqbqo8yTj/DpWg8Wv8Yqkqv
umu0lNVhnreSr8/vwk4kF61J09t6nssqqqDNcPIEcsbAgzSPb0tDP+usSIQ2odKMMnrVJ6uDg8Xc
N2AA7MyT4HyeCcfzdNjxfZaUFD+E03r5ncEQuZqnyQ0XiS4M8gtOH0Io88yZuAmudagOGBeZSNeM
ptN5Rp3QaLiJHH0DB2GnM8b2S+bZwzzZtuYZdzJPuw3G3opq9Qib9qdsnoij1uSnYJ6SN/O8XIkz
7Lv8Ci6hsD1GsY2zLUnb0MinkZRInXTbF9IhZ6o72yKbR82+/JyzQqIoAu2cKY1tCWrVocTVhOvZ
ALt1WKqWZlDs1dZAlfPVFd3W+7hSDgybPvHbPNGMRRFEk89NXSwRWRw8mp3xNFhECEhI3ftlfF+Z
WbIqAr9H3glvG6KkjOMUZnKZwEbiY1eYkCIVK33VfVYSgDB7q2J5a6aMIZsZRetGMf114HGRz8zp
gTcaz6tV3EJtPxvJ+MUGaqd7BFSNQn/xxvqKs1p3ZOBSASvmrFX29hnlkEXKm85mzlvakC8qx/4q
TvUvml7dMyF6VjyUrjwgnJkMF6vnwiQL0ZASUmu4SNqODd1cYryq3d53wLfazVJL52JDeleHlEJW
qXtEBYKHwp+uoSsfohKpUBkmZdFlMbNJj+O0ZYMgveijGulfcBWZ4042XMhl4B/gtU04DHHPuQmn
Ts7l5quCXxcpDiCeMpKXg+3iOZEJUy2htyok+WOSVQVyctQlA7ukI1Lt0QGP4McFcDTjlV0KrlnK
pN1UJi1Tnc0qb/jxc6kVBtUr4YgwxnAqj5y1qlLCaMUTv+Sw9nbKWJdLgHBi2fOAL1U+qbpf3CQZ
qk4XGrvBxhRexKl6lwUejDQDxA0k0UVlRlz6HCudBQYufipJkdF7HUdty+DMhMhs3lWN96hlWbOU
VKuD2TrjlGZnwsqzSPtWXRDU2Cmkmy+SNgPaUauGqGForYcKmkyc50uvMY9qSKTfyUZnqaJUVEkb
7nHEHUojQdfJQ96lBvuc/rkW3kXp/XU/yQEUcbhpSiyASyeF4wS3Z+GPdI+UyZcgMZk3IlJqPCZF
IQd+seljEdT7QVKAEitEwmmFFBeGffNcVAluorAEPWfAO2xt79yVjFEjx1ppo0M8C+/TQu9oIvaK
4XoUNZTBsoj3oN5txpyat1VJBK/sOjc2o8+NWaUFnoxddoBoKFej3+r72vKnfRkJhXRzqa7ysri2
CHytp3jcK6r/uVBS/UqL8Myw+sU7BWM2TOpir+hzMNr3Vqi3D6WM/K91lrqMX1rjWkbR6xRN2I0y
R2+qX6f/36LC4l/xIYfX6m+c0/Nr3vdPITmpW7BdwKv/njx5P/kzzIP+Jjh488Rjr2Drej/5kzxx
5uInodq0N8zGiz9SwgahFLZiVQJrE+waPzfM4yf7YZZn0cpNy5TGFj53jn6/fUpR+KwbU3OWIJCp
TgsrEoSBlriyNJyN7Oyn2vP7dTljtcU4RYayT2u7RTyWoRY9hBoi8yXw8rbcYZUtUthHUa+uyBe2
kmK/quqvsr44F3oc3qEKEdEK9EkSEptqjqZB9KgnJvmXbPQ3heoRdfHp3PBG7HukYzRjAlL9ZvQv
TYjfO8NTUuKCopFJ/ZAGJPEoXySLhsCkt1Yd1mstG0KxT1N6GW/9iSMsTVBeRCUO3C86B32M1RIl
a+gay6X1Mdoo8Viu+tITGxpfxaofymmjxlb1CT9BK7axM1rTSq9biplHzZmGVdIicXE38hQEGKNQ
UOSLyTq1Yx3kbqHl1m1oWZS/owkjeeFM34giiJvbWE8IxYJ4TS4D3d/appT8f0yW+eepNxyMLAQG
o4rS2lzuGL/p6urXEfftiAuF8V8u6KfX6vn15a/X8/lV7w8pT6LKU8gsm+2b540/+uMhFR808v0G
8pgUeE04yb4/pDzZutB4GiH/UMXw7UNqfeCoqEvIxDrdaj/Zz0BBxI9Pqc0Re0YDsCqQUf2R/aUr
Wk8NUxxfhGo01Z4hIpnPsEsNBfN3LPtV+iZDtmVUkpqK3VZLCQak22G3Uz0KFph/0FS1iNAzg1nY
pAP7DjJmdVAHHOufPQpCiCXgPiQkqS2JSly4qkeuGdG3UGgmxaJM25nhXgYl6Sia155gdyOoV/Gh
UKerzAKyx7H7E5MWTrModK09fJrU/oXc/w1kL74AIamtP1Bl3Nr5lj7Xa1pJvnZ5pa3SKOWgikZC
20oTg2pMr8hoMSFUx2bmAV6wV173Kekqa46e+xyHFkNlbzur0LipY5SxtAeuvwOiO0ca4BgJNRNl
t3JMI9oWepqsnEraTIU8a5WWwec2LhtmX4xLfWQJlEAV7kqQJYtW0RVC5lYTbAOWPQojC5K8C+6s
I8uMkmyxK81F6ZG54RSfHNSS471s5HBvdaybuYSnWw+heQltjUSICMUZbxDlcoZ2RfIBZaBGVLVK
2WyqkHRZkKcEkzkq0BUX2TQclc0W19vkjkEFk7ATlEXSLVbvI7zL1ziy9INdVIyWU2ckFl9TphDu
DalYlO/GuLnXGsNuSqRi8UWUuuHiAobYFFEMTWS29RBZGtSQIMM1R6vRWjXTayNySJ+8Qe1xML8m
eXtf1vExV1XfZWC3SZoYpp9pnoA/n2qFsrkgDV2zSG6GADKCVj1oSnyMepDPpZbecZAnlRzYzwYz
Ac2X5ywd2mYZNDK+YhAYgjcBmxOdUzOIppMwOSSqpBzjIrKWukFpbjwGuzZlJkKfWYbwrtmrdPKf
pwEgo0fPBPPROSCeVsXCdDKMG5X5jEukWgDvjlHdm9rVg2HVAsjG9/TRH5rBHZvMdEPOyJQRFjiz
PSb1Vs80TjXzreLDQFVhMQ8h/2bE1w2Es5JEw5eo39SMmmSD7AmHF6fmzlUH9SxNdriYXPtiLGLy
x2pzsCDmLRsz0VZhUisLNdUerUGQNxnz214OIZF5hBAvqyWo/4Axvm1SFEycrpbyNfX8F5ACCaH+
ZEn6n6YxJbpqTVrMx05bCe6VaMVjusrFvK/kvbO2+eirwqCvS60a3/VM4tGILvnUEyKCsrXP6ia/
+7V//Cbwsqb/s8B7zOv//F/mvyav9V83EcFL3zeR+aRH5MMwYBH9YNvC0eUQSkYHeav4mUPL75uI
8YEoCDES2yFRxVDqm5Oe9nYIxAnGOJMSbzrGf0Ip+YvCy5FR5Xynz/RiPB/zn3+jk0S2pFAic6Jz
m64mU0Le2Bjl/Te/mKvfuIr/QRC4ytER6//9nx9Jw5iH+S5oyMAM2Shg8/Pr+fa7lFQ9cJ4zo3OT
R2Hi5rZK3YxDBm3p0amzivS6IjGqCVDHdsY8MoiWyeQdOhScG7UIrpMQIoQZhMdeVWEqCcUEO9FS
RChCdan6wa5nZ2u74BR2qBmtOKpTf12P2qmc8sNQ6RfOr3s1iunE6whkRWqJcXIkiwI9c1yEmvMC
Brbntpvyhw1kYfJTXyGzV5iqLBJzBAjA43i8fpCgFEacX9a+V6Z04/WDdBuF8pLI0Ugft1POfKzJ
UMY145OnO3IjE1N/1FKMZwo9UJtQjQNrFbRlkazyET0kh+3L+BSH1NZ3MDrshM70atHp9tka63HY
SLwarHm4YheNXuj2p0krqWQptWRTKZNlbkTeA7riTkzsBzafmTYjZe1gfi7QlZUTX79wqW9exHMt
Ys5mbOcGDQFoXvhHONSzDaKYJEa8b8kB21d8v1p/NEdf1gdtzLucwLF+k8vKHK4CQTSx9Efn4FSW
3FOd6T8wxzDuO0QL5rMjQmyTtcaOE4gJ2FUz+2lrB51H60tfOx/z3MZRxwl5hdHLcLViCFBRcICV
vj/uOky7hIdauWr4nR/xLdRPNWLIMDLZGgdbWzhluFOQOFbcqvBhQbi5oQd1H1FFtHJy4dz48H8W
+AkZn44OefoCS+wQG/ihBbeX8N5Oze7IW9e5VhlOxBqwFtZcg9jKh3BvAb5ZITNMm6ZJxDJz2BXq
oGMSPJb1xtK7bW9kNHYOWn1NoEKsbCU9hVlywkiRrVPYhEZu4qVu6VW3ki1PTOz6unpVO/1tI2T3
kR5H+yvlsfh+Y9fqB+trHraumdZu7JXiTlXatW81IGfyeOUo6TqGLRiB31vUVvFS181rFlavYzR+
KiOFLE63d4Z0zQLC2GTaUGt9Gu3O1Z1myyXxONGN6lfdF9VsT2WqrBMKrHW6AKp2fCafuPDzZ09t
hdtbib6hdogfwuweTCv8kkyWAVyMfazpMJgp/XSkAWun+9oJu7zbt/FDwdtXN4SvoOOtvM5aAzzZ
tur0MHj1yk8hEpVqSf2DT7y8ztQdg//IFagrppRX/B1vTLAh7hBOvku9A16MTg1PgWExffa06ybB
+d2XzcHXBj7MGKuSciA/4uENstPx4PAQqSD9NKfCh2wf7UI/GkN+r0ycDrFCtJp/nZXFEXjBstOc
Y9p214ET7hOtWIH0C1e+j6IzApyLEHCWbYWM5FfqOVbixzwWj0hZ+7COD3li76NWXE+9cBOMK3mS
nDhALsukHA+TlNtCgRxuY8MqY7ltYVw6VUFrE+fOcer3dj6Nu3Kimx0j4Us6evj2OVO6ow8hxhz0
eFM6xcarhXIzjUq5/veV928meMJGRsACrNrMu/jf71feYBRwjqyEqXQZayuKxqnL6uhngzqeHJtU
713Z4arK4UimxfQqirK+LstYvbMnm6r6Ybhpq+ioDp4bO/JeHZpNGVhfszjy0cSowwHGBDtrdpJP
fKaTmcbomTX6E8ELowQxIe1mi/XhC3bQdsnp9pPGVHHVCapBhUpVbpIt+3JZDztRUB/SeNlGRNVG
g+KTgCWlMP1lTNJbSpr3LbagqU72ZUvAtciPdq05m6YfmXSP4VYbAnMJCHtpeYzMA/rjfPYlt1br
G2NsxZI8yF4NHJ5rbvsUNiPlRtXwMQo7Y+FYbclnQbsYISDx0iKMMYTxqSumc1BHu7g3NyZtsuT0
yp33pt3a2K9S21/DIliZfnFMfBxYMkNtT/pD0qZb9jXk2AJHYz7WBB2qSxwlN+TofdTfLnEt2i8I
g6gLr6quQr3u3JQQzAK630eDjr0ZEvPkYLMMkfxBhBZLu5rWcVzODjSUgxSwhniI0tFNddBDjrHt
WYf0On/JHXlUSzwjvqO8eMKaFgUhA6slRB0nqdgpxbyWNcdQWp81NUHmHTEpKvEDYQSxpL0kBjTi
X/TJFC4R+dlgHNlbTGztpxz8+yEMy+qUYLPe/ftHdR4l/4lkfjsiQGmhnUfD02gb84X62yNCNFX9
UHUpZrA2dPVoX2nt4t+/w+w///M78CURvQlB2WhuMK3sWY379jvoFgNrcIj+OaFKRLEuYRtuw+KG
SRGfBK6iFBo60W/iyj+WLADH/i/fdf57f3PAaou4KQxdUU7qmN0ya9cXI//ArvjZNzh70AQXLRvb
vLc8fde1GN+7AZ9bkvWzky7Ml1k1fc4VeQwbKhjrNFgnTi++2IEh3VSNPlp22rt+TEVLYjxYXjzs
RaJbLZ+mLF+1k8xWdqFQ2VjQ2iuzcdy1g9S/5Bk4dcYL+ioMw+eEz+qqVK3AZQUe3ca21GXXOret
kUwb1sOPhEG0XepT/T42L5F0tmxKd3VVra26B4NvRltdDZRVpHJCSXpqVsapVZcljkS36k00gHC4
0YKMCXgIBlD3LS5p9DTX3deyRn+oi3BXGQDje+NumKJ7rmx7s8EYU83p+dADeBo19EVYtBTEU3QA
5OJmo0eHTaJSCO3FrLLqfaeS6g2j9GQHwyar+lXnTXyCuZI1froMiAvnUWoviimiFC/xTgVGYbL4
TCmsaWn7wy26IQe4QiHxyRhA16G6TlzJlQJ7vmjzJ8svGeal1yVyJgwTupnEntQa4xxTp8TMZkVk
hpeNpFw9rKxd1Z4Liz0S8/2uqoxXu1RbSs8oLTSNjV8YR9n/Tuv+54/bf/uMc6P49tPWGxwxNEAO
p+iYXflnZV0eyk90NuxoqjjabD3LZ61fmHtxyh77w78/X3Mn6d88YPCShMXAHvX4+2+OnmlnMWCD
U+Gai+yoLYs1c1RxUO7lGoT5x4uyPN53Kwj93RP/lZzHo7rYh2vvrAMv/y8/zfcXm9+edh02P6F5
i2vUj9rYqPapIUQUnAP1ClgHnvX7qtv++9/4+zXrr98Dj863v22kNKY+QRKwub76Fa0X1//+9f/2
7yDBwEti/4Thf3g308GaFKh7bN7KVQnYrzI5c/62Qv1KzwrerX++vh/CzP+7izsv+uPi7nwwpEGF
nODzLGax9k/1V8WtQBOQjv4KVYb37f3ebn2Y9xYACzbsxLcxzB8TmhkbhogsNcxeEmfXT2HD5PdP
ujlDZGGLUhGEB8eCavbDbiY8vWFaKc0zjGW9+qg5QZLibxxT4QaBguXABskSnmo71olvWgMImj65
VhWdMlk9SbFiD024bKTq4bK0rRqicl4hMcoOFGZr1sxT6trbU9WKnxe7yBRf5+SqChRfsImPQ68x
rtX182hlpWvMYSzmqVzIyuBLLqGdaHNkCwsbvAdVWQ6kudjpYmrK4tHtSXoFwvtcvGW/cjXC1p68
ZcJi4McQDAiKdajIhMYCvqq1zFvEupOhjHRJAucMjdCDapn0oLepEPKyrviiAZn2qTklGZp6S1Fk
ayTXfpmn0Zab0pZjS4M8nH1R9SqC9kW8ExPyx9BXnrVTkY2nHO7DgICzdJIpXnqJdydK+zrN1ZUz
dptouhaN9bHv6nt6+1YGAQTn9Pb5+/UgqhyJ/vlB/L+kCLPXv0po86u+eRLRjVjHVcYqOnbE757E
GWXCf3Ai/TZseX8UEdeYs+jqN9Obd5skZqMZ0SJ5iH5v+foJCU28IVP+PFnyLKLbI5/pFq0lUHat
H9Zpv5J9FOl2clFE+eCHTQ+8IfkiRnOXQL5fRBww6qpdSTNdqB35Y90/OmN57m3kJq8neJ6GZQrB
WFlWstXWXFzWOPpv+xCZ15YYbzqfrRIjoKXgtQxF84lJQrFMRHIMzDIhnVNtk7h+Si26m1thvHga
fCLcAFBcqRcc7O4lbkW5nDUmFwbhyho74IBjNq3UVkH/Sc0BxzyKvGzxDgGw4DHKs3Gd5eOVNlJd
pPnJoR1MDq9+81mf1fM6G19y1dqT65/9jxnGia6OIRnphDKmljmnczU54p5TGJqaTSiDZYl+Eklc
MLKicDn585wm9ane89AVmvUoc29RlmQatZ4xUeCfGpkdSPIdmLgai3xEzk81DeQpVUbw9ldxpp08
od15Y9KsO25dEPL1btHUgFuKmJ4LNNltqtO75dnFvW1WCpQajBTUAXZl6N82WlQ8qmX/aZyByM1M
A5gRyckMS47K6nHwux36zSYtSMbQdEnPAbdNYtdIGyCZTgH0Zb3ED96G/UWh4HAV0ynjaubkrya0
fNyWjrJR8vZGh+hsghzY9DPjuY2RFaynZngqsIkb8KDrUc83bUVJdlv7q4pFNv/kiCC7TdSkiF9D
f3rph+Bm0lVKAd6aDOIqsG0stNHZw0qwYx1Ut0Oj5Ret8pyLkTIdAuy3NJyWwihpbZsK2L4aEMsI
QICc9WiCthXmKaMcU973GTpAmAYnfchfy6mDQJb7DjoRouP02zXs1zo3u6f/eZ27fcr+44av/t/4
KucX/rHUWR8wdqPXzQZKqBgsJe8jZwYJpsMNVWca8EaW//PUQZ8h/7om4TpRRvN2VHlf6rQPJjh5
ljnsmAwLzJ+aFjDs/e6Mz4/EF9N0m7OHgQ2FjOj3R94wioI6SBr9RKYDLyW94Q1hs9Yy47k2sC/g
QXeTZExpqIU2wOdAD27zOdWW+Ue9jeRTHGRLvcFLppaPkUyEuOpFTf9Y9Gb0rWfPb5o3097XZyNw
OXuCqczBHixqFb6FM7uGU0/3KE2weBxwF0fiNpROYhwmf0rqZyJJVn+q9ILj8tzl2VlZ8urxxLs5
EfRk2Rp2G23UyBZrp7TD7qYpx2Zn0EkNdGcK4mnlqWP7CJgCEIcsA/WgtY53qMoycpYZjX6rYHDK
ZVWCWWjVMTyYzWgcPW+C4xA5nvPU1lngoH55/bSRBot/nAXtFfbrJ67+jzL2nyOLmCMmfhpqLfO1
aADAo12Dm0pL4wWlCec1GL7SByo8qea6iZX2sbe4N3eaCoOrZzXHPo1w0ZBFuhcKOWAn7r3nIbS6
ba1nEE8VDwhdrKXbWFTyLMt22E1FUW4Ms8uXFbwJZuRYRE274NJboQU7nXfizaWpkKAo93qPqGl6
sFsnX5peJU9sA9OOsAzsLQ3vpOEEGzlvW5VPPSs+1QhSDRhoieCNqfvVNgJlY3fTFmv9RY9CazN6
YE+Ueu7X8ipjzg99NgIDYRFGx4Jz9gb1nnQgAcYmqPpzzDYDrhWikgMUxK1Maa4i1KuL6sfxrdKb
+g2zmew1Uo1qn5Zhdh91VKpy0HvJ4Nb/dp38tWqJf121jk/x35zN5te8L1i4vSn8pYMaRt08R+QO
/L5gafoHliKuO/SL/t6O9X42c6BSoJX9AcLjC74vWPYHC7gyI0N8Nfrb5PMnzmZ/U4E139A4CCJ/
U9/KwPT7BYvwBpapMjMvcZdgqvXT0rsdhjgrt8Be4k3PGYEsILz70jZdYOLJDu9AvzRbxdzGXprv
0lFLT32vEgWJIOath5ad1Jj9tTpGW3t23Paz9zb2s70yu3Hl7MsdEnVtpTQA+MAEnMl+NaMO3WOE
aIHRAGOvxVQrG/oD7uW1YnfzUxW1N01Xk30YrMdkQA2uo8BZ9YQaEzXfTnqx6TX/phQZI1ALRkyt
wc/J0mrbTOLs1M4rgIvrULcvgLt2DHtvYSRw/Kg/K75dHDIPM2xAAWpghDvh9J+Txl/aSnCbauZH
P7QpBbK5rRmxXtyK2n/A4b7T7QJVz3sgi/3UBrrAeECTTcxIiM5Txh4hdB+O4ICMKvKQMncOJZSg
RVxpgD6Tc8n8lsCnz+zJeKqC5oKF+2vDL5oANvVfeY+TwSv2qYzlkjV/y75HqxNLEfaqhTNR4BMT
YJSFLlxdjvvJUz7bVXCNTkidbBPtWp9jZynriTsal1R7zskzmaU3PN8iEj7E2AdhGrOA6ajn/pjQ
Q1oEzzT0VMuxEKabiXFDpcg+IeSzSW3tnBWUZPdNEjCSqj4VXmAwL/vaMuDYWrHlrEivsHyZloup
86sy1OQDHQc8IfODKQQd28nyzq5sIB1OsmX+eZ3QHwrwiP2QZTdqCrk0fQxVg+qPj5y/97ZvvEiz
hoPYsbuIfHowKIgGFPI4qNN1aSt3pFoe+oJRbdUEX6nIhdPQx+D5a+wyctzGwJVIWosai2X/igub
3LkwCcgU/jrS2mc8QzCqTX0tu/iZETt/jpuF3HBo1V86eo6PsL6x2aczQrThgpMAMwIsyt8faMY4
00YpIoI82oHQZUBjS/AZSGu8U5rMHKpdeDEcOT6g0E5Ra+lFzCAEOihXIyNzhVq2Igi2Y6deJh6G
a3YKiapsQ/TH5s1sQ9vreqRjQ3cWeslrprBQLpHPRUIOar6iUQxqq1nq8SIWoPUMPRx2KQeChYmt
e2/bA7tsZ/Yrst4NHnamlWrXrXsC4bbqX8jwc27XxEmnjQwjunMNFNh36yQ6lxazFU3c97Y53laC
GQgWKHxdJbR/nSiR8KpiZTML5hysx8Rqmd0YlJBw2aGyCwD6AucGnxvNUVyZ0fIq+rY7w56ggjWn
TUcZT5ABV7FDb1RLhmvRJoyZuZp9qVplI8ChLDrKujKr1ReGae8VnBN74Se2mzNZnlPP1aOG4XYB
jKZfIcJzC5lljCyQROLxOq2VIoGmQqbhuRTa5yhNvbWDn2PVV729ySb8C3GcsLGmlCrUSqRiZi3z
hdDm99ezUjrnvUPJRp70/TnkiVr21D9j/boOev7W+OipwssPYsS1kHrNKneIyjKpAR/u2MshkMjk
dss7hLWOGPuaqfu4TrP0OjBDpH8mBUuYIgebK9eiL9RNaMYPJKk3rVLfTnHXYbOoMJ7RG5uJ+FS3
FXTlllMlFIKNVxRbplZffd1jYszm4VIUwgMbY4o72UN6l9ZRcnSC7irjN0p6jcqKNDfpcMcMCO79
HmGKfuTigMHtdcg1QRFdum/iHlC4wFMBEuOXfvObD4ot85/vNaenF3oy/6rfzL1S72cEKrFQ4smS
Cg27LPvxN2cE9QMRU0xQWF80HK780fsZAcogpiTA3WzeSJ0OJ4v3MwI+2vlsgOyC1Zan4qcAhIbF
V/pmcDHrN0RW6BSkQFclVzv/EN/q+OS+xlprhH/xnBRfEHiHpp49fhAfqKy+R0tYFEPjuBNMiBkl
u8lSnxlou1WhRhgzPqJ3TEZMPcFWmRwG0q2LyYlOGY0NroA+MQ++SFABpLAhU0DdwwIYOs7KCItn
0UJSa+z23CBMdKJ7sOBbCDgX5gy8CP3g0XISV8GF8YmZqEpRZXzw095bSg9wKz92vm5haOQzTMMX
2gNEIrrfZtAGgX/CSQgT8GO9r9Quv+KqJ+I+AzrsPCKoBrMjj4NrACZP2HI/KTPk3JnxHrmJNSYm
R2PO6I+WiD0OS/q3apl/seGDBHBCUgTyRdXzV2xniEhdiCvKCYHyUlkOZSSacSNRRel4DYGE2NaV
munDIgwTYIozpiSZgSWWUXRgY/pneBlUNog2XMSBnaynwEQTVqM7SjOv0IPBVaiEfGuq/Y596tzW
kFLSVFzXWV+towT6kAJNJYCqEjTDocgBD8k+qBcG5BVf0Lfo56xWaLf5Im9N+Alhbc8JmOkjqK5s
S7KtpbRGRhwQgLvgto7WTjy8KDP4xe8Cir4zrK/1jIXR/5+9M2mOG7mi9X95ezgwJoDF2xRqLg7F
SSS1QZAUhXlKzPj170vabUtsWR0db+uN3SGJggoFZN6895zvjJ62qSHFiAZnke3VLFpheDMrnAzB
j/52jhhL+nnhryKFnSkVgKYSGrmRlGOJixqg+TrjDti1kYULuY5R+UQuQASINuC7sUzAmwFyE4LK
aZaNqwA4CAzeOj+GuKPgOKRVFJtcAXMmyDk5BB0RyfoyyWr4CgqvA1Nsmyrgjg55JwmNbjMoGI8J
lQcFTbx2KTLXqUL2eD0zBF1hfKQJJDnqlzcaURYIjx6PmsL+pAoAhFvN3ScKCrTM3iVliL/2JvEu
a0KEJLDbcuzUsZ5HGXHMtI6GBEhNhMDP0MRdCYNoUDCiBDHKqvXcfN8BFg7aaCS0HnhRiHzGVTij
sWAcQSVNdaFgRw3Uo1Dhj3Bx2XsY8M9+ar4iG9m5CpVkTqBlC43Wo+Y1NOfAG8bNKxleUGhHtyGn
q/XFDRVlZx9VNiPUCh7eZDPJmQjVEapU/DhFvPNm5lWo0Hqdo8C0na3OOrtj8QzvEda1lxirsCXm
ieCLLxPCJSQmbFlTQnrkCGqkqkiNz7IKzX0/7sacwUmCSDmUHAoMmJh0DuBxNB7oahAU90sVXktR
X/ST3677qvyedM2daREAanqnwcPW3aUn+hA7EwVSrMWXekqVWwFAXdk5urpC2rd6JYa1wd+7bSbj
5FnI51DVHCo3MjeIGJ9HP9q3o33SNf276NwtsE61NNmbKizmY6XNL6aaljcGOKtmol9N+qo4Jku3
9aZoApOXul33WIIorbZTXEOVBjVU3Vlj335BEzQi8TKBYgi9HeTeQrX8Ncoq59i1dR6dCSKLvEPX
aPbXMBImXQVS6neFn3Vr+iiPBhKvjTOZPBphlG9Cpca3CQAmEI4yYuS52zhKtc9T+Nzb/X6BALCi
qt/HSuHvKq3/mESQr5D/e8tyPZX0rZdiWQIOd+dcROgVlGugqOG8ygztdY+lgB79jRQco2gcQElu
a2KNsxxem3uLWA5h1vClUQ4F3uKdh2UBDy1MAkwMvp2c+mx2grrWX4yJdbwqIeoxBjNGA112F7b7
JtcSnjVlj9DNYEYbj+ga70QZjUZ2KBVHhqbMi1sN8cYyYcy4wGaSLH01gc9U6fQ6AaMpyUWGKOvs
sE7yHipijQu6Rp8uSgSYRbb3KM3LZYdsZacN3nWkqDcD+BsBBmcpOpRJcHFcADkG5fnKUMycXNFz
3GIknw6eTqzIOlIxdkpF24FWVqxSM8EEhVFqBsljDboRFGM1rkxwPUnq4A+W7kWIaL9SRJ9GsX18
ziRNbBIGDPXHiWBdSQkHCCBQJqpzBSBIA80SMBt4TL3hLVUMoXHKT6OiCiFuOYX18uiAGwJdcj0r
/pAJiKhWRKI+rUHA6yCRPLhrWFYBG0UBQw9j1XPWLomlCYjWI18rX2Nau3P9zKKatd9Bm0oMnSy2
ltedUkVJ4lAp+IPTFg7B0e4gKfVJzPkEuJIvXNZnTrNERaOJTe5I7XhpevdgNvwamRADlKbM4qvW
CbuQCuDkQnIqjOg99f29A+Gp0vjdEOZTN0B/gQFVmPHuf/XkRz2pJFK/qydlUlftLypK9XM/VJSW
6h5ZWLBooapMmn93nZjN+w5NctADOKPoLP2noKQJbsA7/VdyF2XeHwWl+48PIgESeCAsripD/07T
SXXpPxeUhNhYVLwWAn/EAz8XlKmk8+ouZnxd6ByxsOUTGzIZeuzBDyrL6FyxCh2XvhFfRWyPKEe0
kr4C/LDxWS5u+8WP7erO9xNnge/WjyCASrd7bK3eYG2mwNuIOOVUm2hfJhPg5hQtdpCbZhaYkzgT
Nr7rSefrB3Ef5fPLGC0vYLXtFSos0XoFADd9Z+ZFcm3O1ERGJjbTEBKnIo9IoIChtJzZIwnci+TE
l6yRaLY4UGJSjhQoiVQVLMs5jntPIY4mhbnzVk7vH+xIytUwhvu6ELf24NwWiTDWmYWEM5yuFg8n
uz8YL03Z3NWW+TX2OGxXoRy3ZK4Tomgu4GETeuIIzpFx2s5tKtyLwWufzAIWC138i0JWpz7O2IpD
E9Je6wIlkRH9iLH2gnrJboemhoSw1JeWJJZ8KVkIpWoLQeOC6m2rTkJO06azUJ1PZZRfkAeBcKF+
wrw5BK2h10QDyPellTPn9inHj93v85ZxAcAEgx2sdt2UTcIPbJsYKw4oW5YHui0p9wC3KD7rwXP2
Scl/2cPEGNSvvpRx9o2l6oaW+Nqr8zcji+9FBY6061IGB054oONxk9QqYchx44CuY7iKALVESo9Q
5fZtLMS9LcGyIFj7JqrytKDHr2cPPbQOmLMsycmhEktBjk6nMjEwyY20nKpylycaMme7xzdnDHQh
yi+paJGfijHZspttRE1iokMytTZCboh1b2s37nDVq0LZnVuvo7d06DJRfEE3Txc+62+WgUaEY8VX
5cKApNHAb6Zz/8CA8TUcRoRmMcBsfFdbcpAecWo9uWEUmNJ4yQvcSJP6Z+jDrTaTJBYu13kGiTYx
t3545mGtrqB9XeR+dl5m8TUR1GYlwMOtnBIKPEoIXLUzUQc8doaTXlRmtfaU6SvWvEfN5ZTSOWMS
GOlEPIJMttmYXTl1cQ0w9oQh8zy01ImdasdFrr3VrOYrIT8AW82HosujlajcYz2I6zkZrRVtmZPm
o40eGrbfsL2nb/UKofNSiv7dDIt7AiwOBpzGdMiMgw6FMuhyv8VPyPcQpsU35si8YkuEFGfKaV+U
4poPj6dxjJ8asAgrQy+uzdA4owfcNn72qmlh4FU+vIOYLkdhFecOiCHbXnxyi658hGgvOZRCHtf0
Mj9peV9D48A6GNJ9D9yieBnDMNt0c35jtOFTDoA0sNB2IjK19763XORld9kbGZWu/TyK4qWzDAiA
XHQ0b9I6WechLDiQZm2u72zL3ls1EKQkzC97JLUg97xyO2fl2jZVrp9BN9iJj76yHybKiNh+eBIn
ZU+clxIgpbIs+j7mRQMXY6/sjNGHs5H04Hbb5Hq34ziA1FlZIGtlhpxwRdI2NK5iXqyA79y5LpV5
0lE2SurY6XFR1kpSPPJTquyWHbdgMyoLpqHMmDCq8GVGHx7NQdk1uw/nJtJTKLXKzqmlGDv/t01/
bNMOKpv/vk3f93Dfi18Jd9TP/bBNQ9422KFNVDOfhTsCP5jSw6n9WwWe/7FPe4pvpgY2pmAjp2f0
4z792Vv9N/ZpoQBGP+zTiEJ1W9dhLBhkztmMN1Rj6AdxtoHIrNCqorgmS/Zo8UTTpaclzTO+lCls
LfXYpzz/uPOzLXP2PWaZXcIbEvfaAezM2ufNKQ0w0LxJY1u/ZLxZYatwht3ltBgXEW/eEgv6sOpl
jN3oueXtHNRrKnhfffXi2h+vsHqZF5Qnp0K94HlG78JTL33F29//cxkozp5aGHy1RCwuYiHWDNoz
W4s1JJ6qawbe4AL89GlUy0zFeuM5Tb82e4wVmVqMelGxe7A8OVPMmUktWYlavJzZu+hYzSxWNWue
3md7uWxt/zVn1RtnTh/0dHYAfU7CWdiyWSEdVspcLZl+7Dygbl8vVfd1jMWWA+GwopcO5Mj3zjbr
bl5UHJeyq3RMt7VmhPjTWKKZ/GsrQ2qPcFc43S71Wmc9jyXQ2oUV3lJLfami5wu1/LPyFby8/tcJ
9qjDDmFjF7+qmxtkUtuCHWR2CQty/G1vTbeE4gEmT0HEs+dYBu3kXHsa7PCR/K2t6Enj8NU2hQjy
NWHfqtUGVqitzJjSq1ltbg27HJYXRE5q42vsAz48dkIOEQS+q+0xYp8M1YZZqK1z7oe7eMYIojZV
xir5umOf7flnhA3H0kxtwdCZdk6CLUN6Bmej+cTRGt9Bqrm4EdnCK7WZz+zqiVedxjH8Zjc0rUBG
3NuVuNWohAPinC58VRr0qkiIVbmQyPhWo36g321fOKqkmJr03gtLRh+cSMPipqD2SEv5JfJ12LTY
DkgkzMS+VqWKr4VAX6spClzqGEsVNIkbBnmVZNsaU9pCzeMs2U63h31mWvmm7Kd5Y7b9O+Ew9dpW
JZNO7VRRQ/lGrcRo3O1GFVgfluNyMlrySMi30xiXrRbs5CuQKPXlMsuHhmotrHuyU3RqTrqXBvWp
562LHspTTp2nV2SXGlR+RNY/JVSC9JFvOQqTr6iKRM2gXCxU4ViqEtKfS55Mqsqa6tKjyrQcRq2z
s1zpffgtHDRGiFSkfu3d9lSoo1XSnAnDg6t0Yg4P/QpB73ZSha1UJa4ZZeCMVNmLEmwItGV+iayF
3V0Vxzl3dNVRL3eg+KGCgEBRhbQqqVHn7JLFLDZzdgs0wFB190ABDk/kpVMF+TTcZzkBVJN3zlTF
TnVuB6Oq4i3KeQJWy1VHgQ97ZRt/NGWSZmSqSaOmd/BAlvRu+F7nI7OzTUXHcJVhJF6bmv2uumG5
rl3C+io3iTeXGzpfL4Tb7ue6c4JKKCKtm4C+HSkXZ1n1jLpoDbhYTZoWg11oRn6AypF/z4A7baQx
veLXv5s5YPQZ/doqgx2Lx1O7baC0tgWPhC2K5Fi57kMtm6s2Z/hL0sQ7vZJrFzZtm05ipZm5rURo
5lYYwLP1RV6Ehr6bqCfWBXf81JR8aCbyQ9B35bNNEti2gl/GNN5j7DigFcnnaB/aYtpjZX1pRFLt
fJZGOwO6SK5cEMf25dLF1C30Ux06/GsSke8IrxtXkV2dm1anEW3f1wtrZWXcGVFjBhXnkRUGwheI
bcdaxEeTD7ceE3rajt4/aGIxAmyCzSZnMsv8kYc6a8PnQSzPsmtugbpH+yjX9kzqiHVhgaPV3N/V
Hk0RScRKb2mUpirCc4SbTEK8fFUmo5lVvor9axa6HVLpgtK8vUcY8yUzu0fZeNaaaORH21/0vWHi
ONR1M8b0lg4EdOFvg6wIbjdqZpzP1kG26V0prB3Co2odZoyJMxySRI5vndxPEQhl5sqqBUZr88sg
bsaWCfrTmJzs2LqBkk4vVHxJNUTQVsFXAyJSlNWVyeE8qHOjJYRUvBss9Btj8s9DIni1bS3ca85M
yqRYkk3uJj0SAHtd+eMFrb/bwTf37gQKZAIktsyGOlmc4opRYhL1j7hqkSA23bHprgZBAL1Dsz9y
o7M9W9SelZ/szEYCmJPJI0yhHcNBXCway/+iyUt/djXaXT3RDN2UEmZgWRiHPL6tsNiMdXREPKBB
y1aCReNDvDj3lrnHEvpOvkZ8OZZkLiEzK5A7pkr3SHwcEsiuWYiL/9BFwsvlyENUROR1+KLgkLN+
HUNweteGJatrfdEWsN6dfcDqfJV/CDB7e553ywQMNK7pFbF5MDdoom3hGJcmvh9Wo6PAFIktxmSA
ry1rTdrWl8StWSEG4koJEtjHjX1l2220x630DgvunYzFV7Yc+sWEryGfXxeeuzYznY/Ov7G1jGqd
TTlqL3I4nIhOsZ6aWCctlodIPMVTAZWCUKzN2MQEAbUVfM1lKwYch54rThE3u37t9KNhh2oasNfA
2V3RGLu2as5NCa22IMv1B24/u7iRv9dTehygdmzrZrqRrdilnoqqstxyW07gNWbJsTlB570i5/up
7CYZTPmdQ9aJyJ2Hwm/Oc5N2K7Fkh9EWW5nk54H3ZNVW09bo6nu3st9YXM+dP5YBYYbMCWg/GprE
vF0bSHQ4T/pGe/VhR3QXY18KcGV+Wly7MASwBMc9gXvZvJFTx/MwRvmaXjF0ddFuignBGvkHLWJX
82Vp4bcz7Ea5lrI4e+KKIvcJ8crF5OYuZgFtY0BPc0bvma1lO4xw8prhxJu7p2kE+GWMH+qlrQMo
BpcIc+69DM56SE8zrx6d2ngaw4w9onQfW3O6rCYY1AR3Q5vWjBp0YfSFzKWSkUh+WJKjtOXlFEXb
ejRB8yQeU3MUhEITD309XC6wc+CHv+a2c2wyI+drpzE5ef1+lnO3KSdxWdDjDUTBQqjFO9jhYs1J
cp9V5sWoL6deWhby70UGYqEVOxbF2SKhfB11noafW5rrIYYZg9GvBumHL9Ep4OfWLVMCb5H71uZs
LfX01SW1O/Cm/uzWrbXz6avsIr9tL4pGzpj5sLuq3kcVhbuM4JGdX4wpNWfY8XI5OYSUe9FpR5G4
xU7E1QFZCGavnPAEBpEEbv4PN/1//gmcU0rc/34cU+riFdC5F/ktKX8lMean/30os/9hWAZxT76H
NcL4cRqPxNjTganacFthRSijxR+HMoffwUHrO0SiAaX7kWpl/QNwiPI8Of8yRP2d5qlhfp7GY3QD
FoIGkJOfblr6p0OZPzlaTZxVfKVR2qydoeh4IGfrIIa5+TpIi9ld13S0GsWsuW4QZQu+inBs2pSU
wCzd+ABa9StikO01AICILZF+/3AzjV41v+AkMBQUAZ5bb6LSG1ITCRnxMSpv4IOoCem4WQ5ICWXU
7jpEJ/Gd1zEik04XgtnRXCoEhMbpfQG5/8GGV2UGOcYKHE0ezCAThfS2hu3BiShvsStRcOVQ776U
xkAAxJx2w5e68JXcjvSQObBLoK8BOVZlgPLOO1vZUD9bRZM+a07t7BFhY5gwhjwkDNWIvFXupckl
0SBeT/7EgsPDS0QImdU8lJFeBIWV9pe65hZXriiH2wKkHBOMzLQR1ZTDvidQiQZy48HbpPYK/M6v
WAOgQk8rICCOG6RG7t5qBtwChEVFsmcAtLwVpmatY9Kr2jKY9caRtD0hsRIFals9WdXeYHU7R/KF
tOtk0obnLqFJs8mGcNjYFEhxuUn9OFzEZjGHRaUvjNay+Hs/8vhjcy2jnUt28E0rB9B/ftne+IAH
metzXFjlrR3f0+G98i3wtPTOuZvnUosGfRO1OvOj6IMzGJuKOegp/GCWt+b95Pc5uiPSFBFolnqS
7/UPrormKcZKAzNpQnmY2OO7GL3oHaeQu6OXFW5zOL3NKlE4l1ZjXl1o0l1nXtI+oYCsJYlftH8F
Aur/NZL+Oe/hBf7vK9fle/mtevvloqVWhj8WLWTGACl5Dwm0pmesOjX/HvjYSl2EldAxmO/ARPr3
omXD7yNuxvF968OLqZpMf0x8CNzGGqx/eCycv7NgOYK/5VMXycGBgIQIx6fvsjT93EVyEdJ6hRlp
12zsHGFov+v28h6O8HAyh8y63tK3sE+2co6wIxDoLm99+k43pjto1GxuVbqEafuY032kduu+NeQj
qgN3fnM02g4iDjknKM1e2igdn+lxdmhH/sv27R3xRMAhld4PP+e0GWrN30rEgGWd6W9Rgz6wMad6
WynN4NijXhyUjrCr+LOW0hayNsiv9YfeUCkPl3hwjmPpHtNUkvOEPNGJmb+3CBZ7k4i6ydRXg9Iy
5krVmCNv9JA5zkrvWCDQp9M8XHlKC1nINNr4Sh8pZ8S5s9JMygzXfIWM0pp9WMRMfFam0lguYEjM
bmrPKdk1DG27/JkpynxnGI+JjR8Mht0VaN14DW/xBlYtCGEEnUCTyV+hrTWiomoTYlw8NA12R3SZ
p/SgrlKGdlD1j+WHWlTpRtFB6Jv2Q0wqaRvQmUdhOtRwhfhatGsSzmcqah8IVGUFXQKkT2lUs6Ga
bhalWy1bO7uZkLJWStPqK3Vr+CF0zZYl2dIHQ2UdWGWOVlxJYqUSxy4fOtlp4riL9AX1bBrjal3h
fQ3vYNTVu4F8PlDajNAPpRwGuuLoWkOheZesTnA7CHu+zAQ/XF4aTR/esJ4+57FDVEspXiIJC2SE
/7+BG/ucsVtswq7+zryqCDotushDTpleOl/nyGaCeC6+x4uzBsLQXc+IiYl8t11weR4E5JKodm0Q
Bzk07tGknA2GlG0t5fxmFsXOjvkfX6LbmJwec92ssK1Jj1nNWXVmHyYrScFsXw5OrR1ny0XNbOXW
2XFa9BASvYnerrAQBmabgUpI8+4CEy3iMR40grBHDgaN05yEzTRAqyrUUgpN6S39zorzr/kAZkuf
jGBGdX0cJ+Jz8iEyto4demQ50h0s/G+m1l6ItLip+v4h1KzLtnahiJhafUX44XwwFX+VzhRHWBx+
BVy+ez0Nw43nvXfadEpycCu2ezHHRGq7abxr6HYJNCF85mvaKRcO/Odl0E6OkVwUMYqCpHfCy9JD
JFSI2tr2cUQfcIoORFYdZErTrOFL8mKGSmMCciR1wxVKo5eox0/YieR6GirOyiVTHa0bCg7s5FCJ
/OB3Dnkw8qWQHuzKjH6h910QA9x3xZbx8LbOmkAf2grgkn5bt+M6rtODO9gnUi4DiKBQRTqoG4gu
Hrxcv2b690BF5HFS8iuBxtEXx9BbvteNcess/cHtvbVVFBvRTRaGm4nkuixIh+Elprcg5LBpaZEQ
gOOd26y89Srzm5/xDhe59d75862tkQNE5Pvl3CxbLbODmu8YXAzSeBxNcHGCgfAt0EDF2zLP94DU
wWlk6UH28XmppusCXDYegUM4VXu3qAIWUiZUjn5DIBw5OHNA6NmhDPs1BPAVZvcdrdo9yQMBCbR7
0U5bzVHkITN5E9REuVbvNdTqWQwzu66uy1r3CAaudgZuz1XaR2ezQzw9RPuJNlFRaRcIDLdzniAA
MVdzNgUNr4gJ7jSUxtr2yX7r8neZv1dhf0umEU+kzpGcKK6RzEgkZi3JuhTbBA7JwA6J+7G9u7YT
W+bfqGOmW3vy7/N0MdekHCFTHvVdgUsJmxhPIMkEdKu2nl98n6E8sMJtUWAGLQl/wkPWH7XxwTLm
/bTIJ93omNV5d0LUT17c3kbDfNMXWJ3q90bXYahNxsq1VP+53rYhMXGRvSFfNYis+MYiP6QarFum
lt8NjZhLqa90IlRqXd9r/rD3Wm2rx/ldSgxQ5xgPzMgx5cJzF069CbXh1Or9llfxqvW9LQlhRyuc
uWCzISl0Yo7erquGJhdKiDdyV5/4q5Cc4rCfW8LneZMIKIlpk5fjS1u2QelpJ5JLDovmAsCDiT/I
bBuTGrKK67Ah5WmGny7cndmRaNSXXzssJ3PtHlALExuA9aPq5L4EHa9PBTN+x4cYNTyNUn+sZHpb
aTQy7YmxJekJIDujstu7ncPT6cIUGG4gSJ9qKE8U43d54u69KbwOreVQ2sWRHIbLuMK4W/bJtsgJ
3QuVGIn+6+jdpNK/sIzpuRbQuyQoF9P3HkIpKFrb67J1bjFQ6CvPaO96DNNDjQRQKh+0k1/kTnTM
wb+sRrSxUi1US/U0Z93JlM6uBinadyNCjxHbnSp6SiRS5YOs56NhVifNJIKKULLwNZqT/K7FNxcs
ZneUOlOgcQwGDEaaln5DafiQdgUqJgyEK9/tnm1AeCZYg7TCSJMY30ShrcquecI7fNBN45r1Ntno
MtsZY3tyFoW5IWUuWHTjOXbaeutb2X0huxyJIBHhlnFOMy9FFlEr2Ki1xWG0DzNB81orNslSBQMU
RzcacTjP5jrLGYjE5RnB5C4Np+OEX7zWoP4RA9ZJhzkVqkbG6uhLB3fT99ieY60MkHUiweJsk7NJ
4IHaD5r3bRicbZvouwjzfKJPm7JSjTyay2Cylu1UlKe5i06yc+7RLbPXdHVQtgz6wfqTFKYdS9Pm
WUczRr9DGtUh17rLBa1NK+u33lMQMwK2w3y6HGzEeYXO9vdDSXv+MwHzz3NGByqOKdCwKi7OZxhN
N0op+6TUrvUCEW22qhgOIEb7/UUUIes/FAI1zFQXEYahW7hFABz8XIai/9YFEnztevJeJULU/nmq
sE+sC4wqv7/SrwreH6/0idVVhdVsEJOiXZveVWwzd3eNzbIcKtrJ/dekEsHvL/fLu8fbBFsBVQHa
658/mImu1qPBFp0H7WvXn5rorczffn+JX30iqmWKZdUUsT87AEKB1cgH7nse7CAdd/08b3Ki0IqI
YQ6JGt3V7y/3i08EroJDC50U5GHi04lBabHNWe+SM5SaVWI1sB92dfYXn+lnq/bH8/DTRT5ZtdtQ
6xwRcpGUXkknLziBr///Pob6mD+Mz4duQUuD2euM9lzAqMuq+xAd++8v8jPo5s8f49O3X2dgboai
Tc6TZq2YgfjJmUgBFrhnB5VYe2327V9c8VffDh4I/GsOAgTxGbuUJfRxytRIzm5z0+gR05CDG37/
/af61TUsoQOFsHgOyGz7+daFhJcKb5DpuWxjMO34x6pgzB9+f5Ff3TqC4gCak63kmv6ni1SkHbtJ
MqV8P8+luIg5KaYsBn54l/YnG1H6GN78/orqmfq0BrHE/eeKn76smPAxWRszXo8JLlr7aFFA/f4K
ymv8wyUcHV6y4drQS5FsCN7XT4sP+ShxFk9GcU4v5KE7sHleYvDcODfxrRMw+Nx6gbb9/TV/vuQ/
H8EfP9WnS+LiKaauHtLzIMDdIWIzfRaFav/7q/z63qEYpQPLk/chVvnhbWLgKNwOpt85bBjDIuv3
ur+4d+ruf/528GDxtPk+ULHPD3YNEAqnExBxl6Pv7JlUm18Tm7TRNP2Lz/KrO/bjlT4tcFg/K4k2
Lj0bznvs3TjhXbP8xfL260tA34Iww5vkfnrUEiMbPHuJsnNZXjv9xMzRXJm9+Iut7levEA/bv6/y
6avP5BB3c8RVkuyNaW9oaRtpb52sD7LurGXQU/7iO/rTxzIBdcDVwK6uol7sT9Jh0w+ZDbpVfu6G
HQyaUWya5fZvPmifLkEv7cdluxwibmjc5Gdy1leGhkwidf7itv3pWf64hPLt6RQ89Nl+vkQ6TYWW
c9I6t/mbthwQxvzFBf70KHMBZqYO7wmNNyh/P1+ApdMdjXIpztR5RY/5Lj0kKYWp//5xr/7HfXD4
1v97V/ZeJmXSzfRf2b67+fDt//5rDKV+7IeeLEsweQK2arsCWfyhJ2v9Q2D4/Bgv/YDHs41/UPGw
9BgMFJVJmOfmj4as/w9+XWeORCMXJj2ghr8h7WP28dNah6eT0w1Jgrrp83/Ke/rzA6Ix3hBN0xbn
0qht+7L9aFDNfaLTrbI+WlfTNAzMU9z6rRlo7FRYrggquUPjgNnQfZ0HSC91H9HEKwg6gj8KpjVf
97Z7pXfAtDTSeFcVulUkVP7AWX+Ot2Ytek6xgDe1EJIra0eQhtV1CzZVE0BFHX/8ZtdatYkRWfQ+
OqPKS06TvRANhl9UJWZLvXLWFWlIV3GHyasL+T2SNr9pFb1f2cvXgdDmpcjmHdvIqzYhjhs7jv5T
tHfdDk12Bn8+i4mea8ZnnIoPOXrgIM2MO8vpniLAQzuEEh72c0tcR6zTG4rIDnFRJpExRS+uu4Bd
djBne/jAk8S8rshUpvFi3umGqwLpkxuawMdCd97tDs+Q5FSPR8qGpR1IDdSfZ56k3/Gn/X2hy6fe
Sg7V1AvSqqOnqhVPfvpqjdUapOFb6/tv0myv5ZI8OtX0ltkeOXEWU2q0KWfi4RBNOOO+IPCYliwq
oUXr8YhnyV2bWFd9rV0tVhMGqc7aP5s5M+zGKw6pwaLgGKjhRt0+q2bfqUETvHK0mHEhhrk0FtEu
1XqxbaL8MkbMhM5/esD4cAQbARTf7UDKIrWgi3pdz6SozRlIDVmX5m7uRrA2KbPxpI+Des69XebG
cp3qxbARQzhtnJ4euZHzuy4hdzIav4Sey1SpPwu9v9axjwVMkJqdtEuSSUwwYVl2MJ0IKkQHvMAe
lxlnnTwUGvx8aWrhjhctDMZqODGyvaJ5zOCyQ0+kyVsxOOcx0g9R6hImaKY7O63QsiP3VuCGbBEP
HSIOvYi+tFX3TsmrBdlCWovTo2wdsP5vvX55QgxUryOzPrL3PGo9BXXejg+azzmaH2WUmWvNxhqy
u1kz5w0nT8RuRvW9aLUiSKr60p7968ym+d7Nk7nyqhFz4zBuJg9RKj7KiHdFerQhErpqmb8fOzSY
mSWnly7EMKq3dbi2JPQlK0sf+2yNh+3B6pA8eH5CEIABXxJXQOARmE0Dnu6/M8p6PxlmGFiVfprr
8dJGJ7Qu0gSqI3Zr8D/xZi6bBZ9rcZWUiD5oGyN2tSykKdGieo0v2dTo6lm7s62jNn/PdFhGWiRv
K7fdoAdMwWi6G8+uvujC/c5ujbTWtb/LRX/2W/8CmOZVPc93JurnFaLAGKZejPC9QBrWty85iBdM
lQfGqEe795WokDk0z15KYrwdSG/+brbya6T1p7HqbvJau0Tag9i+JJo0my4tf5gCQ8cD6JSqDd5n
+qoHdgB4uPteazjUc8AZ63xyXxKqBGBdOnIaLaMqnYDPjJ44dopT0zJBQq5oP7HqQgGfJQyaXLx1
wHxWcAwTBGbeqdXkxESp77fxMhzREQ3YNaJbEU8vaeJEq9rObJW3Rmpn1BlBa8PO4cjSxAmukni6
61AZB1NabvKJuOcmI86nLB3JS1fxSnjiMifWaFNN4VWVW+RN9uEUuFp0BwiHOYp/R8bC3prwCotS
AaDmHGFofRVFRrNFrJI/yRHxXTgOFxqWMKbX6sV20kd0CgzHhhFltj/aQWTGr1NZMW6z8UWO5ZEF
/Xa2q2HfUL4Dy+lvanswV4nqzpH3tUP0heEek/zKERxcvfIYh2gfyXG9IPHhJnHskmk+0oLEoh1K
PbvBMMTPDsOdI1IP3kn/2lYIUP1a0tgvzTgQaaMF0aJ9ByrLfhHLZEfK8U05V6/C4t1ucgKn7AKh
Wo7yB+XqUl7pjW+vZNU8IR8Ig85DXVfMyCYtkxFfjEp+XbFmO3Wp4+jWuy2t09feTx6rmgdpDLFk
dBFaVr7yFdudDEYLUkoHYGYLL5N7inLvYFkkxUZ2gaDMznhpHEKt7OGBTuvNyJ5IupBXcWNQnEHZ
Qt+qzTxunkoMS/k1Lx+Si1pbxjUZV5ezZlXILVyUxDoAHy0TDwDQdpL+nlM55zSq3yfkA0wn0ych
aEWOEjW46MsLA5MVKUnLJfs/cgO33MNPOHT/j733WI7cWKOtX+XGP0dHwiWAwZ1UAWVY9J49QZBs
Et57PP1dSR1JLR3pROgfa6JBU9WsJgtpvr332nnN5HwxhiBzRfXc5Gl+7NbmAYmv8fPSfNIW64pD
yo+pyUkJpQ9s9uKEzZoIsOsduyS6gkN2763ZwdSY1Tox4aB8wN26WJSAwayEe87kfbQm3opCJjjO
ezJXuOpa0qUNrILdUrm3elg0ASgcgi7rXAZ1jZkDqGR4FO3yKjU+DD09IDD43fu5dLKNG2pnSRS9
gjkBwK5hvU7rfdVUvN6prwk06xuM+lEAjee9TmdrhzL8YgkMtGkjr8UgHytLgjnJ58MamZ+pmBzW
WB29inLvwJ3LeCedfEAoAqspmLgFzCTon00Wj7J0/UV246WHBTZYa36xrcaqHS9m5KfOMpGZTV8B
8F5kyRSjY4b0VYw1ZQI5P+q+hc9ukSM0afMdRHZII2gMiYsFWfSw3BpDxXfxvAXScxkr415v3Kjd
jfh2sMiNo49/fVtlXB4WTT5Rg6BTHoyvpGi0+7idHloPyFCZAH+Z8nPUbCBYA3dZKg0buhvju146
TRDmPfymAdqv8B6sciD9RRWW2fW01tXaQAsDz5M59rs5gvtiZOVR4+Sk7DWCiXP3VhP2ng32c35a
bCFQfqWgX7ZJPqYav3YtP6XQ7jXTZRMo8OFlXvbpwM/3jdx4H5f25LGTE/e337vR2WOnaf0y0s8I
UZe+tzIGnGX2FBVFt23m1ti6A1gp6lii8I1WsHMOBtYG1DkwnSE9q+2WgokhTS8h9h/DBsey62Yv
EQ4eoonpvU4GcVMP2q1TeJCRgYpZ3vQ0c+ZC3F9po0csCBqKKbaLjWWlyBr+OWjRqNstmf3KOrlN
de26+OczB4GI5+5TGg402ckBZ5OZOzEOz/WosE+tDnOqbFF6zQtTJjgFbfz1Q1bfyYTfke3oJsfL
mXW6LS9mqy0JSENHcPt32iS6rZ70T838xYMSD2uenM1Lfm9YWuFPHUuqI97GceXDPyHUe4jr9KEM
53XX7koxuxuxdD3Loaj41KYfHmfjeJT4L+fyYy3aMxouEGDb9WgY5TMOTB/gxkM91tm245TnZCx9
eGGHbexNzp6mT97k4OzF3H7KmCOdU804ozjzjalOqCN9HlDMwzD046x8Dd3sLe2HK8tqIFH2uh8V
8y4cS3ZKszmg/tBMpwezrZC7TXU3dxRFWd7RszW/YebSr+Z2YTqyWUz4jmEeJO143s7VcUgA7dpi
NM66VMfwGDlGdpOXq3xeqkS6l41mj/yBzXyIEidJugX1+9876JcziOqy/3EHPX/tuo+/qtHlVb9e
QSELKeApM1oTTVb/wxWUu6b6Y8oxJTFxx/jdFqST9raYGTFMhOJuKjPR77dQJhaSvxEEISR3Og7+
wS30y0v508SNWyiNI4bFfxlXCAvH5R9voZhrZw36+nSF4a0j1TGG+I4Hx1to1EriIDfCU79mkRks
CO7Zoz7oGsQg4Sb9sV4TOqnIG2Tn3eJNa5BSYwiUZ6pL7Gk8f9J+n+XEKsAGGq4BpwDMK9HcHmap
R96nJwq9v1u6jocTqzugzXDBc4f3G68FSrqmmmobiQmnxpgzgUxYKx1qkDNwTA3wM7VrYDl6AfzE
pTyjHzJ9z27BwakdI8t+yHWNvJeDQygx9Jr6aGnRCgow5zCby5B+TqY77yJUY2x6EY2hgWLUHuJs
js7IHeVvSVhK34OQoaHuLmOg5S1804L90WPAy52F+Az5PPtttLsYMGth7nuxsM/aTWTt7SX+lJNm
bYrS/YShaNFpDxLaqflarRH+0sahpdKqmk5xVHcnV+HaogQrU95ju89bDRS8wzZu6H3W+oXBUbsF
l8JFWMdvuSTiQOE4hMNwKl91N1+xr1fRWd1qOXkFPOXo7d7ercuPzFntPUaXCHF6tPbcsxBVqY0D
Y+OkgWUP+XUm2Oc45lGxxAG0aJoJ1xRBw8g1P+JOqw52i0lxGLnAFpEFcqIiNCyk9lZnYXSQaz5s
4fZxYm3bT4eM7742gC86RTrCd2oj0iC9wYJZFd0Z2mNKGihOL3jPAKEqWZ1l04hVJeW249gcdp1p
ufG80N5PHsGtbohtbAlFFpithd9kwLJZri1v0zWf85IISdSAnqHAhK6iCfYQhCuyGzXqwVCZ6V7P
ZXMTLY0OhWDqbxzWzQ3Rj0bf4vbIjl1lAHMS3hx0eHw4FM51MOvOsOmKjkPAXGYHnSjFljbm4pcZ
9L+jOzVN/fvR3TWRhdfuvyd36lW/Lpuq2BhTJPUVaAp/mtzp3yhfYtFkfKRQ+6yN/7GA46ZkBaPK
0XKQSPWvzuPfl02cjwZ4atJdLK1QN/7BssmQ+L+GdyQODQj9gK5Bw/15CE4BVVniMdGv7Jzu3wMl
rZTJuU12QRh3a63dDSmfp7Dj1tX0+X6KvCdK2LpNocZeVbT3whxMfjY/tH0NcadqbySpBc8SwADh
yRTz0Zw7fx3gBGovVRSdhdEOP9eVnnqwyyCDbaWtqsx10qhZJymGXNYfuSrjXtSZDcvZC+spcAhT
o0Zp6l/WqjiQ4Yt80x6vk6k3AzJtCV8Xp3UkPMcw9MIS3NAGJ38stQFTcSs+krr7nFbjh0vFkF8N
Wcy0Z74r3Hmi35iE/qI9taslN3Q7+inxRIxU3mUpl+WkWdmt1CHhzCXx+DlMfQQl/sew+7TDweJ/
7N7bUffxjxg+iB86MkLApkVM999ame8ie7aX67ijHayjMZp5ykEqeTh0+tafzGmxIHtjrwE1aZpA
LxiYkjYze+9VT4CTBclMi3RcjvHWU08wco/KyWFv79XzLZSzEgM9z7wByk2odcA0Rs7IUq0Oi1on
yDyzYqx5ezOqVYTES8N8hZXFUJO6Tq02sVp3CrUCFY18rtSaNFEUGVhqnaoqkHO9WrtmtYqFaj2T
amXjs0lmW612KcterNY/Gj24xRPvuwjV6jh5Q3cW4yXZz2rtLKFqdX6jVlQtNsO9ng2fhlptGwaD
20atwDpL8Ugt1gZjsgp5sU7rDUfZRK3dlpAfnlrNB/BIQalW+JalPldrfmWn+bVrRlmgf+0I2pKQ
lC2tvaX2i2zs7L0bNx+F2kuI1UGcUvsLE9jojJ/cSvac3celT2VjqB0pFIh1ndqlSrVfmV9bF0A4
ahfUflYvuAkqYBqMfdgyyfm0p0ntgNHEXujFGBpww5n7updkeUn/gDWzP7E8Wpg5Y5xhlrnvvrZY
oXbb1AMN3sJnfBMFrhpcyMxd1P5MmJFZA8MUcLhq+07VTp6WA3u62t3b1ADRtRKBD+Kv7X9WJwGP
vTz9JAy+HPD8GzeV3nAbdGkYZcQt2pNZJ9tWzPe5pkeA/3J7UxIC31V58whuJdqKNcQ77E1V0IEE
t8fuRYuap7wqV84n3hTExYr7uaAKOhWciZwlfdTL6jqlT+L74uG3NeIoPl8GF+dqTT/ECiq57Mn+
Uo64xYHdHL1BfsT5+H0Q4W6KXAAxnvY5pb0KdCUvppae5Vb+rI5ce7PT5DYvWrWIeBf8KI5D5n1W
PKfawOeiL9x7yNbXjR6f1YCqNmVbXaL5vQM8eBpzDbRsO3PlaN0jPs9DtXZ33eo9NLEMA9EDQG2G
lsLyhYaGMFn2prGm27TkNuVidZqijvlhfBsJXFRORAh94IZzssX6SupdnQyNQ1LFZ5lDGsKcLrTZ
bPwFLYYnJWk36CKAO5Icu17pJW+pW5bfZdanh8gcE0pEYdHOHFXOJNaIjSUrEIp28eZ1dNUVYigD
aTbX1aTdya6b9mmWJWdROfAoVzRTZcvk8pa0HpcuFsh6Zk0Kqym6KXRmXB2Py83XIWcVXNpa9U37
2o6DFBbmnilwcptHbe27RjeSBW+HfZdKHMn27O1rSydRmsausnDmrDDOslcg7iBECPAJl1nEfoiU
ydb+7JZoZVK1Hpc+vRJlcyITc45CXATmJAzwjcSWTVGHuwxv+S7mIrDPwxCzJz3iB0POtmps2yQx
tOgQ/WNvmIoDlPJu44Kn1piYyzGXIloS54orwiolQP/sKdGIbux2tA9MoOhhSXW511KOsmkxT5sm
AhNUFhxUWab+U23471FHeb3+/qhz+Vq//vdBR73mt4OO8U1IHcAsmBHPwmnzk0Rp0MtNlAQBk7Qb
LoLfDjqm+41jh2G6Dl4MhpLq6vjrQcf9RsWPx1fM/zR0/KODjuCt/fF+iGmVC6JOcMEjQGoqN8BP
no+WiS2FDMZ6Vdcd9kujZxTs8ZGp7eVBT5t9GLvv1sQgFFTCGyQDkEh8tMRsnTo7zJm1aw/e2MDO
WC7sFVOkjUWcYqx+I6LkSsLgXEL3WuQR8xJ9MIIG+3E2exeTaZ9XRbV3I+8wpMZVKpAiXa6a2zZS
65ec7qRdDbve1D80WXJ7IiSajVZ04SgZU+NesnEbO1gMBZDU8DQj8gl7cra14T4CbL/ujPzK9pj+
Dm05Ypwdc/CAyz6cM3D7tneTp9FdNGXb0lZpfZskR5RXwl9662OqovRiXYf6tez5Pos97gmAR1sT
Pq4m9UOhkYTmjtr6NIDFQe8xFcc1Xp8NNEMERj2VoMocz8/ihimRTR47f4soFVV9aVCyuv3QtDhD
Kypi5xXcpyNoiZ6yA2S2YI56DxhC7LdWrh/pvj6ZgiGYDgk3LBePFlZRo2HBoM3oC/Ymedfoidwt
bttvNeAUtK621pWby2M5DQKuCfM+u7PzI0fdS5mZZEPKftv14fcucu9TFM5jopkHawk/GCCUgNVn
YgCy8Ds7hcJYgS7TLOtQxWEHlaQQ94uLLduZ7WNRQne1ovoWGNKBbImzjW2iAhHRwC1H2BDPxYgM
KbhY1qmHsARXc43J5TchaxBq4zucC2zQjT6SE1mNW6/RXdzUWRDbkBdhIse+1usCKUVVH+SqBSED
7HiUqhkhchm2TpqbHWtqE2bVnzBaFsXehpPue/SF5tB2URXeuUjQZ7qMf0RUVwUu8t/ZWscguvL2
2DbRfSeYRTB2Plha3W+LXrK9D3YwuqXvjmV1Kt32ouuKz2oGuWGt00nM43PdLQ738eRxMBpOYdRP
bMewfobuJQLaAM6Hcj4vCqF0thScqgvPmFtBP9kX5erySGiP/aSLLUrrgfgn7zqyrpwu2g9UwthJ
SvGCRTOxl3X71DHOc4nyLrz++1qHV6PIHrw5xnQCdiUyGns/gtEkNdkkQZtW3S6Jy1dPZJRDIYXn
URxwEbsoc+/Qq+KVydF+sKc/gGClAUeL2BwM8cNM6scxc30NAhonLkN/HVsb4UB7gTfPoat3KWYC
j6EvMruRmfWd6/ep050fztqdFru+XHWLWP/KHlvZV3NVGRdlW9Aa0SDZkfg3SeTTLCxAccS3YyRQ
X5MFtPx9pgXW4p7qBF7/SCVnGCctuH7tPhkdStSz/IYYmrY1qval1np4fEO4RWm9jm1iTshvvjmB
YUbc0zR5WFUmjYws4ZQWP3WbMZeIvQuQ+4RTsisgDFTv8Fs3cJuP+BX2WbF+9yQj/h7ZSroHcqU0
32pptO3H5nyY1qNXJ28EkZg86Dqgt8nb1El61+f2m9eSKhhmjrll4zxy5CBWX4Q8xMy2N2bcB0XD
WkiJRD7vu9JYil8cvP/uuAYOt/+x436Mrz/+as/lVb/tuSp1idsdUxCwGAawP+25+jcDbw+mZ2hb
FnPW3/dcGmEMilodqmNV8Fz/ac+FHi9sUJ6w4Il5Yif6J7MFUzn2fjdBMpJ1VLadUYWaG0vexR+3
XOqla9PmWH2VlNfm4rB1hMuEocJ7mFeDe+tCXbZnlOfumt+6i/W21LmGXL3qmynm4gc7GEBf7511
Gb1Gwqy2sybfGFle5IP3uCrhcio/B2wqjYZPIsGnnNdFjewv6caiEUoYxTnxCYIb4ehh0TAvJ9GQ
36EqeNPI7JGapxVMDe0MOmkYg918Uxn2c5bzMV/WN2an5S8uimZ4yJL+msvmZeJy/sRPeFcw9Kgg
Ol2GY39WTSNJa6076W6KQF+CsJ0r/s0r0wSTecpwHNx450lo9akNyyPWngZuYcTPNrhvL3P6zVcr
hiPlOGEQlh0m/2nwYeLsGpeoKByWDWn6H4BbrrpMl4xXm+VuRSpKxpB297pDjkPItlMzYeO2wHSX
GvF8zX4pVsro5RQ6ULRFfuZUiec31ID52hyqoW3qu9PoM3GxfW/hZDJ5K7fd4U4S6QrW1n5USO1s
GyWtdecxsO5BldtgqzYz15L1QZ8mbkxESBuqI5peMGhPcapfzkuUqtF3lFt+WDEUaBC2XUlFR4ed
Sgmx0ygDKviiDf0j+1lY4/arzSckFGU56IqkJT9qOn5y0Xkb/O+0hHFaw80/cT8eHnouUwlxsRBm
h5Vjs7G64zIMp7mFLC/T8lAZQgvijPuF7owXnkqvZ4t5imPxtFjyrKjRwgobxpFuNw9WQcyrsNjh
x81UT8fBmPdc8cJDYofmRkvCA+bxahs15gkujr7xNFJSiwbLai3cR20kPigbbTd5BqFjrG5gyVGt
p+PqMcQSVU2dSITYOXJfg5u6T5LY2QhnpVAj3JkDkRuNUULbDo9rnj/ltvFZmWqQkjbPwq3O6SF4
IL31wjTgeo6zhI5X95CV63PXIrqJKj6Ec+psQfMDK+nPisHh05yuzyP5xFJvXntmIY5tnLw08fWk
fpHMzfzQpBM749LGhD6/Z7t4iPGioZ0CcBFOdiJAHNQrMJXeeWlAS+KIkxdt7dyusbUXJnRxjD57
Jk7bYhi+2250a0CTcvTyiszM1VwLtHO5GueQqYHIyvKcGpJLBne7rPyRZXRwjmBzuincV8mkUEqW
cl9QQCBt3xUhf8IEiu/dPa9DN29DabwWIWq5LTK6yjp01Dyi1GVc7uEDVFyKc/qRWuce5i8SrnhZ
3fgi9+Yb06D/RUDv8RrvR1iIA0AIPkYMIcah4AMYqsjgHISpQW+UBVxn1O/5GD87PVMqPawu+4Tc
mWf+8ECpBakGFSGcmAJ1urUNI8MB9V3am1zG3sbtW31jgwu6XjLvNgNot4mXujmGI9Xo9PtA35Xe
2xz2r1neXId6S0e5Y4d+N4lwWyyNx7HGPtW4lq5X091rSxWXN7TppXd1qb+HC8xxCBwPa1Wdm2v0
ppf6GdyF5VCEnhb0mYGNMcKHVMcdKUsAooD9PqraWYMByilDgFolcRs2dtoNNhLnHWsRLoXQas9X
3Tn1hn6WDPoxjvvbNsKVKCZIIKt1OQ/aqSr4VyZZ49d9LDb2qlk+Xm0/jQvcYo7lf+10/275Bt7Y
v9/yL6q/Asqo1/y64StqDAAEzNgGgVhDkWp+ZTOgz0oQMwIzLqLqlz76K1AGAAPaKI4tyl8cE9P7
75ds5xsXc5ouaXfxdF72z2jcngob/GHHdyF+081rcOJwSPWor/90ye5W5tMDjsfLyCzX84ZzQY0f
iMGrxX4Tjeu6WcPBGDkdM9Hx3T50KuACBRemIUm/wtQiv3CVdZjobMT3iLZqTGoRjR2slIhprxyG
5jrZ+cxhnQnV0zRQS+GvIsI5gWdD8+pjZ7UKAgVTdL6hBxNUf6xV0c5RtbTDXD4ZAiOWSQ9Hr3ja
XUeJbTMKgJEJHUl0A3e7cBD3KaaetmR+S7E1gq64LVUtrq4zHKxoyq2r4lQ24blOg+7CRG3DZhpu
8DIxYT/CX+Y6HaHVJqqAN1NVvDgIaX9Q9byDKuod5/WpcLxrrIdQGCN2mQH3Ef6NmhsQRb9T4Z4p
p5ehKoCTYXzuSfRv6Kw6FYmwyVMv150qDp7kKLdSlQmzVPRb01lnP2PsTL0bpcOLzegSEFEg7GHx
0wE39URHsWbNJ5oUIPXDZoBuo/+Y57rCUdHtUtGw62F9Keg8Tl3Kj+knexxsGkvSBvjcQCBjVHXJ
qBt3GpzPRhUphxlLmDJLhm1YH8kNRZvZqi5To7pFg2WdwxJFPWeMd3EzQobG3xwsjLEtLKWbNsZ9
bUK7yDPKyS1tOwKZs4DNtYo6h3WPpjBFomvzKtu5ik6nmf1FoXh1mSLXAV/c61H0NEA3JxkH3c5U
nDtNRtez0yYby+u3etOfjQNG40a0T5EC5a2ZfVog5/XRHMgZlF466+yq6W1UjueJbfqZgu5Jhd8L
FYivVki+FgTaVkDpEwrX5zbmR6UAfrpC+dkw/WwF94uh/JVm9oBS9FgwJ67q5kqLawLaihNofRED
QQemefE4OcxkUCMGYb4IBRd0YC2PU343ZzaYIfCDUqX44y8koYITrgpTWNck5k2FLoyn6al0wFKm
UA1n6IY6lEOrY3/FVLCnHPUq7WxMwYzi7Z7yC7Lj9PhM28HJ6JKGnliBh+N8OdyFKWajKgWxWC3R
MVLQxQb64gCFEQbB90ZhGYENptDgQDWmo6XDEx0eRoVx1FF8/Aqyo6ZVZ8LxXrn8M2uIgD8aUCBJ
/u04P97X0CGxNF5PIuEaADeS24Pru7GgImbWLiPYkolTa1sT2uSc5BBJnHJPceBrEa3zgYrBw6AQ
lVoMrLJU2EpTASx7SJapQlou6tSVK8ylJxYqhyBfRgqBmchsV0xAMUOFxyTIwPAaYmbeLVc6BM1W
oTQrmJo1bE3S9fFZq3CbUp8/ssS7TS10GGkCYNIVnLNbl89phA+PNlX6nACsLdIKSPwOrCf1QBXp
Zk7PIeR8hpCKBoxzraoT/ExLZW8tDmtZNL/KGHJoL9UcTHpAv5sLNKGPDC6ED4yV0aSqkbHpk1np
lWnpl4kq4KJr9VJ+Fc/EzdFRVTQ1FnvBCZ0yGQ275SCBIBjWMcKhsVlVmY1upBc67TYLkQuG9Ce6
1YnXh6ciT49x39yFcfPZq3ocyp3OF/pypFbf16pAx1wAhgtVquOxLrI2krJHjgsoSVdqRPVUVpTx
OBO1PDnysK2KeiZV2ZOM06OnSnyGCvlsVMU+1BW+zKrqZ2YImA2M67A8MNSbDfqYaAYypo+pBTZG
1WcSlIt1imXxMi/8RHUPdsDUG0E4Vo9fNXcIQo/4gD7iiMvTkjlE800ABV317hnW97UVn6POhwEG
/H3d8gubLGx4dt53LBEl96nCucb+HVB2p2NCnzSa8cZLOBy3/FPB9sRXK7WCO9tqXAoGNGOzUoNF
mAYolyuOQ8Xpm5q7+WhN9p1Rh8+x4637Nk8+iglHbGhN3NQIex26bHwwS9Be5J1XACHtyDTx31PS
l1lNzTH+/pR01b6WEdmyP+el1Kt+OifxazX42xz3P/6J385J6Aoq08oMBHayJX8SI8xvHucWm1i6
6/7SdfebGGF+w9imzG38tTYahvFPJiN/1e1NJotoKNK8YdGrh/Xj53NSg6MgmRwRXlDohW1izTMa
SVX1tUZU4lQ6HZqzpqqxrTQ+S8LlBefvuq2d9B20su5rEwIA7Q85QZjGFClVDQ1mnzRhoMfJqnqk
U0QuOJlEh/WdSwhEnEQi6tdm+2rlYfLRI73STFraqvGRaWk5VwCVZqDBHMSaAJ6e4W3z1qL2qk2h
2LDpeoxpWf/CwWOWktQS8JI9KyBW+6m50czNh0XHTsJxExtctVwcnlJtbZrJUByCEHr6ggkgbiF0
DPpVvVYoKwL5YbrRzfU8Hj2V+Ty3qvyoR/FxTsJ1a8sWqhOaAI3XI6xL+HTnNV5uUWvXKTej2zp0
TzhPuPJHDGugZdJd1FXt1tCmLFgkFsAWj5rvNMPV3HdXWoZ1doqwPCwWM5aqQs3mmAn5DnQmJx1z
aT8zs79LcnGH2lXY2zHvy2utydYL02IbaepdBML4mca9rUN7N86YApYFeHazojO2i9KtUTtIl5VL
imRgpmIWd5q0px3Q2n7jNOBpWgbG7Fe4YiGW4TScN+HqSN/Qy/hqjEBmJzVRB5OzWD9r1a2cKPGF
fc5BuCW7RvF3bSAyJdoFRWu7UeoJXpnaeug8HfhLBhuK298OJSrBrlhs52FtAb079Qt+FRQnXUPF
wdWAtt0tbbr/6VG8/uWo/3/KobiukOy7//v//SlTSxOPA54ScBtdBAY2mz+nUUU8icyjMNcQcb0z
88l4jRd+ThNtFv9hY/x7S1ROsL9f/26T8aPtkh9/sQSqF/62BFp0OyiOhyu4kalypt9WQOebZPjL
PJb1B931p9EwfD/MZixzyKQ0Q9D2+dMKSAbYdV0+9jYXTwB//2A2/MVD+Pmi6ED+YAEmHi9JrzK7
/uMCGBslhKDB5IZVNU3tnGsEYbDCYxzrCuF7VppdeYNhZuCFQ4IayTSsO53TOjT1nq4SYFv51VA1
GjaZWTvadmleDJm2+OQVyhMDkeJuMSmPG2arPid+W733UT+dGcWU3Vn6REVNlXrltp+dj9BIUP0s
N9zpaQvLy4H89z0WrNwYWznctFPNBSLfZ4Y++Wte4pLlmfvUzGS9NTqZDGCUqKMsF1J0wvV41GTj
z0ZqADdPCe3FTnZdFEN4b2D7uiVICeVUpHYG8jR3FP8UkS5sNi17EmBU3SlJB26sgVsh4y12MjIX
eD3gqdoKrdq2usu4rFLIVSCf0FehVKVBYSdN+qClis/ajBms1tmQTUsKRzFc7RH6AMcu82gpxOuK
IdB3ViZ6cI/cvm58Xe0DYmw9+zSqLQIaO7tFoTYO8bWHaI3aT5akNE141116XGLcjn61WrerTqrj
YKhtqWJ/6tMcJ46E83RhA1E8uo2bjLdrit63tHaJ9z/mgzldFF6+lNovq8+/K4LBg/j3K8J1/vr+
0f7FiYhX/bocKB+q4FwspVQ+fPXQ/7oeGPhQXQudSNL0Zas4+K8+VNP7BnzIVKMmD56RGg/9th6o
oRIGDXigUHVwtv6jYmA8UDzwPy8IaEW2Ig4hPRmGoqj8cUEYlwkBlg/GVT+PGcmp7Kkal1unGqlW
9KKrQm/Sdzbdkqinec9VAtHB1BC9nelTi8XOkHgRV1NbcXo3AZ1NLpBM7EtJG761EWr9nDs0pg3l
Lc9yhIBThftpDC8oCS79uHbeyE7fyXF9ihHGt0bO9cWoSSZVcXHInPrMVKaRwlH3Iq/crblxx/fy
iYMPm5ZLA1evRQdYN6RbnsqLPiNoJXUU0yz6kXbuhdWGN8Kar2I66iuH4RSD6xuDVWaHJ5fJgzWq
hFWFjdWQG8fAxASVS82XceM3W7MZOOJZBgG/Wj9QdFHsvL7qII31bjAstRmYWbiXzELo5Sg4RtXW
PbnwzYizdjDNYODijd8RiE9SLMdVT61tX2Lw4nb8aHs/KDrxscMq8f/MGfvnQazJtk7BYVIAP26G
BV1MjpR02vPyMYrqOOoOaQT6VDwRP0Y6xz5VCJC7dMhYTNCQxxH7HWChzqWyK0RV+whK+G0YlpNT
ZXstW30JtLLp9OMQZjcGSzV1a/LW5ScUJhjftYqOyTy/bC3vVibiLZtXAhrCY7wu9JXQ+PRQGNZL
6nqXnLYmROzS2tWDDqtodk50YN1TjwywfRWPyZjmGPXoeTXDh3puLwmHnaI28zZdnn+Ac/8+j9p9
bQ7nczzf9p7ckQZ4HrT0nTEN6hwlmNu2JiSw5pUbGF3z6ZBFFgMhjsbyLvg1nU/EEjkl+6H1qdd2
EBqqXZf9qnaqjhQexc8x+ESV+xSRs19Tx960ZfXdLCUZq27ZUp35ag0Tny+MmsQSygy9qzqHRE2b
yvrktWZBERhcxVyeDXI5VLL/MWoWXJzYvLcxU0QcBhmsNswSJ2KLGYXDWAFwlGpL6msxBNHFdNVS
nj2mPT+kFXFwYyP3bKzCuO1lHXh1AWqxaL2A0DfhdNByl8ZQPc7dS94cTZ65lwKHUbVQCRtHnDHp
+WVWssQ3y9R6xzBTZRlON++tETipGAgJD42eMuLDNpxo9Scem947x17VI2nEYboEPdm79WH80hJt
aPuofBHO4bsyNFHmtIjqBhL2IBOGOyBIWE9RJykyQaZUeqVLpM0pvT3jQ6RM0ko+5Lf8LKktJyiA
Cwb1ZL5Uo51CS+Nxy2M+0hQny02MQYNcMh0/SeFHrjffuZgnN1UcX83x+kOdxuHfun6C9irQYIes
4KIw62FQUngBnDra5Y5zOVvEYFBwV+E+JSi6sWuH2IAJkvb9kYCnorCSGa+ugRHsaqX7rajDBIm5
iqEXW3EZXeYoyJkl7/jp6nuMoJddir6H1uyR3G9NmAVROL110nqsKvO5EE6+MdCpU1W90lB3tIP1
8mjHah694vhwTf1yUkJ3qSTvLM5JzlPziP7P3C4Fvd7bWEsQyo0Gso6ZfS4o6HXqPNZNQm7cems7
yIKicK4kmrscKrGxmtjcmMjFnLow2YhQfxNzeuui2fPLQ7xP1wnvivNAVHXiCTF7VehAE4Yb+VJp
RFgDsFYjG1U9D9PCo+cgKHWxceyUwpQgNTGTRm7Vz0BenMKhP4fjDNtQqVP5RKAxHCn3NpOCGLXj
pr5V6GsQImxpqran8pp01xPRZu4Oh17pYOSIl4OBNLZG4au2FOcxkpmmtDN9Xt4pkE/vFjqPt+00
HeqOqHEBINl3ouZ9qgRZJuU6Q+x6SFz6VOr6PVnxLUB/LYgitwetNB4A3RbbEAc9QJOQQvJM+G7I
hUtOR6eArxDKgaoadoe6ZyQ14RQqcj5rXTFwkctFpLUAJVWigCtaGTCg6KCI9p333SjoObz4Ogj8
eyIy/+eJSJU0XLwib/73oUi98LdDEZ5VyE+ciWCKc03iS78digxcMrjjbcdDr8Ym8/uhyPnGWNpQ
CHKJW4YrzO+HIsptoTDBQdf/f8hpiHl/OhKhy2HEsQ0lpRlf3J2fxbRhGppCLhMgk+sWxuzCPvPT
MfEvbuu805++g6KtYbnlPAjBRzHrLHUo++k74K/PzMEZhisIAmeJ86iJK8++6ayDHl5P4yU2lP/9
/b4Eyv/5HdU7+uk7GrPbJivElquUfXgDRRw/yUJyTXUtVd3N1Fbu2djjs5MZC2ondzL9f+ydR5Pk
Vtqd/8qE9mDAXDjFJy0ykd6VdxtEVXcXvHcX+PV60E1TbDZ7xJAUocXshkNWZaW79zXnPAfDS+VL
3+TGaO1VHOTWi9RdfUcYNw4XHAEeuTscU05ILhueH4eor7JWuSKTdzyhTzO6qmBjiamZOzMOyFIh
1Ro0kR46qzpla0hYarAVibUhMTBam6ZtMOSJio0/ynwZcXgu7Bqxfo55YkG7eKsMzPu76Mbp+wOx
isS3RhAzKp93CTtk5nPXVigsCFtajNZw7SOeXQDJ3haFdtVzoqKU3uUqkUxJHBwKqhoirO5r3BhM
y1/6aR6Th9sexeFKY2wdtZhYSmcfRqZchFYxrJWybtArj6eis6dbuyVAA3gPiRG3BcaGrVWRmqPl
FT79UGmvp1Lwf3QZFutLGohjy0l7xsxE4kXTgnLpjOqNbNujZeFgENmxtKOdTAZGk/5ZUZMzOU2P
Woq6toKlQ5i3sa4hQAtT/UzsqbkaTHGSpdhT9nh9Uh5bf4AxO+7YwF2pFK+5XxFUMR6HUR47py68
dspU0nKGQ9OrjxVSaSGK2X003bPUxTKejSDou/wqT1pkosM5mZK9WhCsKEuLFN4Wx1MlcfkzI+WG
GtNVE9v3VctwLFZAcehZidqqG1qsBjr2NZRSR9Ju0dhAS0qzz64yXETo3DQdag0tRMAdhvVaK7O9
n0ZXXa7cDj33ucLbwiZmRUwy9s/2sx12pF1Z8bUeDCu3y4BPSc1jr+6JeLwmPZYIC1RL1iA2Q92v
VUzArUUToqleURS35CNfZX7F9lViuWjTpL+RY3jDcGNH/0BWsfMkknwp2VHflapiEHtUv+e0Bswy
8FGAY5qowjE+LynvvqhDcMjhPFVCI8TLdnd6FhPIbhAyrAyoVoKrMOpPwoRtYGaIq0wCxHJW3/6h
aUDlI/NpppbBr3JGLO/pg7LjoLgenaAFwQI73hD+unKNB0HcvM43BG9WPsx85XGbsHrf1WlObGHA
kHJU9kkz3TUlcfVj2pJtVdzGPY6wGChH58fusnP0V7eLX2PbORUgR4B3IEYfiH3GEzVkS9Pvne1/
Lj2Oavp2bqG/HwN8Syaap1k/uPX4yd9vPfUXxm4mllT96wCQVvv3W0/DqUFPDx5uNvu7XEm/iUis
X2ZRqA6t+lfb6e+TAOsXkmcZ/JoWPOSvKUf/YDJo2LMq9E+TAFc38d1DHGMKgNF1/vcfroimG004
D44CvyaLicjc9TjDF3lq5YjZ2mKd2ONWaQRfkTC7VtGyIkeoy8VQJY/D2BYeAsTdVLPVZooeLxGm
Eso2jL5XVc7gRU3zxsjwoYjlS6lWJ5LrdgzfnWOZpfVK4Jv2S+Mea8Em05B9BG16wyyvWpqV8YlJ
+7K3rWbpG+q1q5KCPDg+vVxcP6rSfpekJq7jobzN9Pjexs2/mhJq5E5BgUUy25Poys6LtNLLErbP
wHtYwBfKmjj6jqF8vRkShW84SKhF02V7ciuGyEP8zSIXBJPi+VK8lGmvjNe4LZ1+jSt+IJqhaNri
rqtitWTxqAly3xGdsNdw16WGxrtvxmyF3oVuezRWPYgr8nHjqy4eoYfkiDwKYjg7Nf7c2oxCVeFy
ADjcje2ZxCW9KWz6LmAxGDmpjcfi1pYa6a2Z/hKnUMSkW+urkajtJfypg+U3zb5S87dKD2MYL2lY
qCv6Z+41KxP6dZUECdso2/TYBtypIWJQG38uYdaqJ1XxlEMAw/RIuu4kiyOJbONSsd1VbqP+DUpC
gAsqkmaT1eE6de29NP0nJtx0d4kxQsSO110u1J1GxwYLpYGe1hIW6FsFc9mUuSN/zyMnXLTvGTGs
2JyTSaL5CrgrI7v4jnrHAAPdLtcf6xb7IECbIEAcqughaQjWpFSgjlxBfzpN+nitNsglVKvBLzwP
BupSvQ2Y6UCk4awmZqMK3LUi9W3VWNdmbO/8dNokfbcllLPx+ja4a53sIt1+o0uduAi1B1bFO8+w
OYzNbiey+NG0CwL7ws0wOA+IXZiy1M1WdsFdibaqHqLbOuue4K9sNaqqBXPXcmkh7F9MkbEBCmeu
uej1tbTHI2mT6oG3HPJBF3+BkLToa/42ZQzMFcAqguR1H4swbsvJfNFrTL65SjvbpSe6qJvMrMrd
aLbB0VDEbdQNb7lC3F9zV3eatkRXeR2EsVdyr+XltK8t7UF14wEIXbxponqLZgQ7KbbsqElesi7A
8WLjWGwxlhjA8GA44lEhBJRP6PDq+lqxUjMm7daEWru/hDTYuj4cikbxCk3iYzXfjFK1PNWPb6cg
vAyaeKzqYU7EfUgrVVup+riu8oRow0Q5+6q7ibP83DEqI5w9f+t9VLJ4KY5ugBYds9QhTfnPNPcA
K69lYJ7tnKA79nM0gMimlZSGgWrahJXvDKm+htozMlgCenkTosIjIN4KnuOZw2aytKtN9Z1Gf5tE
/XPjDgiC+xU+ok1sOC+tk5+yDnVTMeLm0Lpl2xowC8un0Z5dxxlQv0FYR0fvbhytAqEvEejWtfEU
dfWO+xJWWO8jphPXBhkemN2udWyly3HqTyYAzaU0842fY3R1QfaFib2JnOQx1pNjoDb3NukcizRW
b9pQeHoJihG3JrCMxyQTt9BM7AXAjE8im4X29Ql510WmWbcLRgaccdRvU706VK5+w4dkX3RMe8Ka
8HofzxIQMD5V/VOmV0QaiXTdNyqtyXCggjoouD+phZWdGEn0Bufb1tUum4btQGYHHLGjdFui5afr
tk/YjmbVyTDqgyz5yDoZs7AmvffV/CUhekhU5q6txZdGlHu85jti6x76Jro1neaONViKvdhf92aI
A8ahni13WkbFNkGA8nWkLW2+z0lEWzTaQPBEcoim/EWmxi3TYApyliRaUanLmExh0UfrvCwvZlYc
Itt5/09t8q02YTfw89pkjXDjU9R8+lF5wg//Xp7oOFc0dBuqaYN0nN2iv5cnxtxfc6V/xQx9ZRD9
Vp7Yv7i6awvWUb//1G9GUtadrkGjjsH0n2tcf9CUY6mh9QdYj5T2q830Q3VipmAcY7+eLhP0LoeE
8OnXdLpP8r8HXwo++SR05R9X6Dz1D/XP3JQLfgdoJEi/Og8x/wUfHgHrm1XK0tAujVQYI5IwHC0a
83Pff6uS//Zx/vxM/vo48yr/w+OQ3lLizjQhf9C3aPVxsD9/eId/8ESwC/38mXxXyQWQG/SOJL+L
Lu1FL+5tjPvKSBg6u91+hXxn2fTPZbftoqsW7awWfSHQMSA3qLhuczyreA9IqTIDzIwsCARa3tsB
rJx0f+XX/O1LMVuefvqafzcIIQ/cZ348vxbGyp/dKuVj1wMr0MRlYKDt+wl7p3cbOVjF/3SsaPnz
l2resf3lD2D9NU+UZgW3/p1uIkff0/aqPV4AqpJqp7l1ekwwTuPv/9q+u/iGu13soAmWDUzZ4UZj
PMpiA65iryrTssaBw8qKvfG6DdT94LaAKNLsSc+M/eCrDYecEmv30sjijZG4CEJ9Au/yOF7VVr0r
qcP0vlpr7UhxMm7C6dJb0QpE0mJesiMC3dSIXjP9yp9i1NFPDd1o0NxhrT0ZxNbUhKb1CDwAae4M
08TKg10/Lr2EnJgS+oSFh39iHx2N2rLTOgR1c5I0rLinJgaVSdxENeQHrRXXcXyKZbbpcx26LvDM
0piMVeHetWLutE1SFZgRmFEgPBFVjqc68AiKJH1GvrPIMqQuruk3cyTT8efv0Mzw+fAOzWY2fAx/
fPHFd18XwoWbmOC86aJujK2/m47to7FxdvWlWWjHdlst6xWa0+W4Npb7ep+tC08+K7tk3W7UjXWK
1vG3ye7ffmb/3Cb99etLg/fx6yvStLOz+SNbJLuCunrwIM6ib1S/qQz/9nF+9Mn8eBzNx9WHY4JE
7ykNKa4uMKHTO/m5msPYliBuyEL9+Uus/fkl/vaUPn4JvtsBu7wfteHCwQ5p7q4SiesUl/xiaIg0
XQYXdA8/f8AfnYCoBLEOOi5hNF9FKh+eWgaeyLZTQ78MccN0761Xrn7+AD86AD8+wHevHS0MSbCB
rl+a3ptxRgOx6fLfhRH9uwf57pR1pWtNJEzoF7c/TNW+te506+Xnz+NHV9LH5/Hd8ThyVyNaM/UL
xhQ26Vg3rRs3PrsYgL8+0P/tdcUp+lQXTfHe/tf8mz8V5VhHQdj+zz//Y/Ptn7l1vdf29U//QEYc
dfp196Ueb740XcqPfvtCzP/l/+6//FWBejeWX/7Hf3v9TFIN44O2jj61XC/fq1Nnc+zPy6N98VqR
TPXjH/29OFJ/camJmFqg3/oGBvu9ONJ+MdlJAFUkP5ewAOqm34oj5xfiV/ENkfCs6iZV0MeNhXDA
T3/9ZV9lYr+9ElffKhVexL89Koyv/p4/zW4oslz2KdiQjNl7/N01Zjvwn6UY68tIuiWduY7hBBVE
7sTADML8EgmOwtAOz5ZZb1BKmNcVXjlCntUbwxc3Sd19KdCyLqQMdzHT9dDW1j27+UTXl0o/7dNc
Ozq55k06W7leSCzDxlFNcWcYXXZGC7f2AxumtLIuRuXaisN7e8wfTdkuHb/64kCzQj8FYSHfJXgt
QkWZ0TLGznTChxqWL3aW6zFJz90Yeb2rniVyCIYBkm5k2szk2SEK7k1osQrPaJXWw5sbtScfeFJb
Gy9GkG76tt3nvrVuDffQi+rsh+HZLeTancBmh+W5IxrRKKoT7fejLeDXaNrZHUfYzsUl1uIzVdkK
lKVXNZMXqv2zGzVXYdidgmFc9pCyxNCtjNQ61zoMIPe9qV19lcUDINeuA/rqvAIOxHMkHhnA7pTG
hb/doGyfwOPEXlbCVixrSJVQmn0ZXQLTRt0yeFps3ZtNtp3G5iZz2rdcl2fFyc8I0469lW3Jrtxn
9bjtKogYQfluxyVOFyxAvrszAnFjhza2a/IgWzuHdpQOp6SzlYU20jT6yatRiBu3tJYhSmZ40fal
U9pjoGfeFPS7moTAxlZuYlfuNNV/ENnI/M1YWXmkLQCfs+1lXhH6arWc+8PISYmfHSp5nY6d7wGG
fbV7xnVlJWFEmh2pAyUDA3ha2SDfcqr4magYqNXqG9rTb5w63iL+C3dtAanhIqZJRihwrNzYELEF
nkFj8NbLZmcqhQpmuksXBFnfJEVb7nNCOpcN3HXMIJpxkubUe/0Iaj6VeE9ctHv4aqf4Rtd0BINM
0pmabOMcuzVcF5IrI1TcuT5NSy3voFOXuKBaR4UNbQ9iC0LX9BprvI3EWHmYNBEGG3hXpo50AMoo
9NtBc+/UrbpKLAq2ONWvI2fE/AYC1CRKw1X0O0X3PxWO4eGnv0y6uRZ1cq6aBKA4jDak319gV5xA
LD0qzFjiU9215AqPkICrEr+tYQWrKCuu9QJrEhRtr+zBDPtMfpf09uQbluItwIS3ULGmLcqm6rxG
uEz9e8KVZcxyhXigXrAgJ5Gj8hLd+RKU7ks+6vfky3zh7weWVqjNchyN1DNKZh6QnkrPzGNIPAml
do/CqUxrz3CiSx9me1AUD0KO752t7mPX2WOgwRykdCsuhIdo0ldullbnkVD6ddajNtc7xToVqX+b
lyFxS5BFVnrYE/UsgG4PWv40IJL0mioj5mNW5MihRjUd5Os4kTtfSTexylAFLDWkQdgjaSsvkWq/
wZl6k6JnzyYzPre2tTUsRhh2mAJoqYFlV/raKeFYVYa+8Qv9qa2wDXFMoXICPAN9myI6ehoDDPqu
Ij5FfpV5FphDt2vfFIjYjY7AUvqqV+X+oxHMdiYMI5PeAU9JZiKPos888Y7hYnkXMrL01JjoPIk9
DBih/2RAwWN27dt8vow1tCLUGe7AVzRKIIgXfC3rwQGNahjvmYq7vfeD2clPSQ64HBVttYuiyeJv
6/el01xkhudnnDo4aMZuCMnCaPuHXFX37eBMkEPwAESoixadKo9JqN4OQXsw8/BOGzHk9DERJHVM
rokYDM+SyjGC94JENrmvQ4EgiCGrRxoMRqkQoPS6HpogXCqFz1wShgB2tT7ciRZiWNrDeFcdZaNO
CCbGHJtl3mTFWnZAopPxusxg09uaTK+jgn7t/0kxsvlSnF+zL82fi4//n2sRwf3/01qkff3XMn2t
X/9ai8w/+nstAmIE+QR7H5OaZFaA/jGoYYaD2pRUKlPAAvtI/LJnsak1z2PEVyQqddFvgxrrF4f1
se5aOutG6s1/JDFHnvp9x+bM2x8VSKpp8mjzH/Gxc7G1QEvT2izIzsRFgrJrpoLM3xlQngtdBtpu
8JN1yvIgz3JE19wJzxmLhYwBoMNcsmDhYHfVLjaVy6TAC+RqIuHDLo6k2XJdR/XDyNrCcUsUQA2X
uKO0q57VhlX7cL7aiRNt3ngUsX0tAyz7pNTGxI+n2CYKYncGdUVUyRlUVM8sVPSbkAzzZWKy287V
NoQj5gLiY7WlBaOnOQHXbcFuAufptrOGzFN8vPkUQItxhMGBjsj0wtks3Pfqfa+1WEnH1aC3DVcJ
URSWyjcaN/Ani+e5LDN+b+WiJAUT+PUYZMqRx5/ciGtq9PH6dRmxqekY7lhd+7u0ZMFMcbcqchhk
KnHjB9NUhqMfAT5Ao0XWSB3fR1WGbykluQQlxKVA9WbOaMVhYvBrdXd1VMFyTKp7fN2XsmIBw/Lh
KCRSO7KF5uMr77xcScvlILjuXeLsF0nVncoyhok2FuCNe2VT1ubezHWctT1NyDydGZgLTIO2tQ0Y
VUQWfSY/4RTk03nSycTuiIoFEVg/pS3Lno60CtxLxy50wHWhe14GGJqViRKxSJjtEDNiQEiIDS/V
rV3cWteJP5JShbvP06dgVYnMWQ9K8anS0eNyxcO0AJRaKZtCzUBhRRfULQfDmLBVi+ZA3tXIgzZX
VWS1CyfhpVH7sVsJl9iOHHd73G2qyjjZZkgR6RbKsiLxaJtouZeUyqaOFfrgojmRNdXy7sGM6hzr
Rrf0k1umxaoeCa8RGbnyxDaUVJYTph/R0jAnqo2Azl81TGkkGK11H+enQPgvY0UKd0osVdAYlme2
6oOoqpfYIGBbS2NvrFrLc6LgOhi0oybnGk1SQLifa2JHCbhteA0baxdUVGfU78e2ay5R0VTKdQGu
evoyypTMcO5INykfILpWEHIhaM1VR040wj5u3eciYQ9h1p+dclzWFX6mKVgj62GFNOzdVlnXqn4o
0vAcFcVexs2ZIOmrPk8SquKwQ9bRDTvLN98nS+kQ9AyG2ESdb/dgNvvpVremU1AhkNFINVgHs2hm
MCweF1p5ypZ1ltUAUwGbalzV5nMzy26yzr3PEXyAyjvUOo5xEuu59YxFUE5X3aRTmnFJjmZ3zWHH
Rdp6OqwsuDB4rHx0P2RpHHEVkhnhtIcCZZCt2Ut/DG4nFMeQMhEPhbOMSK+BZ4kMV7MbaOhoZrmR
ge4IrxZu61mKpM+ipGKWJykdn5y8pLbMZ/FShooJk++TLfL3AnVTNsuc8Mo9THlwNLVkZokihTJn
UZRa+zZB7+Wb0yksupLwFEmHY0JVr7KCnTF8GO0Cm/OLAZRvpU7Dl65BOZ9Z8gYgcbkz8v5FK4hi
E+rTGNnwzau1Owd6ZAivlo5oBETQ4DGXGNySASmIM1JPkDNW1ldulB5UdrHTrIYxK/8cQ1LxsGBv
gRW4e1sx7x3qdh65XxquuNNUIndCE6X0VGkla9lYripFP0m+Bld24d6ga9riiEa+m/Y4hFOdKWes
LaICSadptx7PNUKDSkKPG1WvYYV4uB1R8VppuiIc5z1wP0VQa5rWuEl4TbgHNBCGeYoIx7nKWn2t
hmi5/T4huNqfPQLTEC2HPt6EVUUrFacI1FpQcvw6kkYqz5wTxs3gHLJaW1hd1B+EouUr3tBxa+ry
Ruas7rIy9HBsa17n5FtX4iVG+hTsZAHJRkFEDIcIHjcBS/YLi+Rox3FMngClUUCeuhJWt3qEoB/i
DE2j1YFumlXvQfMp0QH6KY2xqU17oliqTkFDDUe/c9uZ8oh7Kl4qRrXpQPiZSXkeijLdldpwIXfm
RiWBTvGNcW2y3i4qd6toynAXTmO3Hjr9S+JSuze2fZ2F0PSneWX+n3rq2+qLedhP66l/Hbuo+dfl
LWrKHy2/+PHfaiooLshyQLC5lFauMy9/Psx3DFSqTHJchECUSH/Md8xfbJefAV1gUPOYs2znt5pK
UFPN4lYmP3yi/mlN9ZeKymVH4bhC5/ex3KYY/FhR1eRBcWlweQcYXhv9EBHb8OGl+XWk9HH5hQvm
T4/hCCaxxpwiSeAwS8CvO76Pj5FphcrVNspzkNi7POzctdT1uF7bmTxJQ1oDuv+x2dAPxKjdSjQu
WuvgxUeNT1GFgeNk17bbAM/wq1NXK04FoMqwqpNlKQTaC/RFASeVhioH8NKqKAe13CZhBm2E8c9G
yopdRxHoq4EA+A39CpODYmBpYpXYZnvrKsaiR4Q4NsWuCOpNBEpSXwV1ESubPBum4javp/A9A4O2
NjRMzPHSASS+wu8m9HjppvzTSisRsq9CkanGLYYLxArML6rrFnIyRdK0noiyWigyfDJK7RDKEJgG
wYALkpV2Rl9tUCEdh87SFnarnLuwfzAT465ym9s6mY7gSx4sM8tZU1XcSJE4kpK0IuziGIYx1uog
2YGeirxAWodhjv5TM2fRBwXkMqkuVAqqqRj3KBmeyzim4E1ta6EW1aUGZbOldiRxUH0LrWREH4+L
R/hiIrdMA+hdpN7ouqsRLc4CViy4KgEJpZXS3JAxMB2qsTz0vrKRWbJtuTw3WWrWXmRMsFRLiLnR
KRvmBZwhqgXDss001Tu/jm5Cs6Ivz83cC5SEgRG7wgDvUN7IelWH2W1Rt4fQwDRFmJr1aewT5guE
QS5V3VrLko+q1CJUpjB4GGpRw/g7WVanQeSMcWKa/ASDMtZX4DBBbN6aYizgkYhu25CtB37GBefv
C6hjY3uqrJ7YObfe9Ykc6RDUL8LqPmMUJ6sltbKD4ZLGuwgTM7oucxI2oQVFJppN9AW2puzdJNY2
sFM/kWK2o345t5p934bKJiUQDzl0zbSLu8LQjnDlrvsciFdMrEBNHacpy8yCnYsIZeMMre5VBi+8
mdvbRu0ftRmCVprBbPx5wRd6KtTWWES13LOxvpr4pb2G/AT02SQIlymVV70BOKzIXSGmo+ErW9d+
kP5L4Ux7OwPdasbBqrbNe/LPUFPJt57pUNdS3ogsOZr6eBX4REMZegJ3PHGf00B/NmgRsctqR1dQ
2Q7iUoXbMRPhMpwogMypWsNhunNkcy+SHv4vCx4zDK5Ej2INbhTU8z46tKyzmHHj+u+1h1IJ7xwn
uyfYB9PSsJ5nj7ot95Wr7KVUiVSIrX0Vu5vUIr7NsRvPKDTEU51ob8QQg6ORBzNWX5ie0BgYLNLd
AvWYbpTxORMy2Uol05+LwbGfGqeguJbj6BPq6Sc30rcbxtCpRgiCX1PqtaFXKdSgcQpdnKRqoHY6
CUIDX4tjX5rRuRMTksC07n0CZ0sqAy/QkHDRZc0jtsp33iYLX0wIFEhh2rPqG4vxcAnvMS2RBAu3
4cNMoCDtQXoYHQXjnG7etCqicyw4lRf0pbPQtPjQF+NtViYDpW+Bk7BsYOq54smybmPeea/q8J7Y
kgwxh0nxyScrZyUnJieJVbwJAshBFY4hXzlkfcK8U4OSricek00wBscYfw0tlH+dzNmH0iVUF0Jk
DKjTV9RbKHzPhlG+AIECnhBv+7h9J+D8kppshQOfhhGo4LMeE29p2S+M4Bed00A80gj8pEtjn9/k
cOVRpDW+6Y1jhJkJSX+lf86sVjLDBQif98892RCmaEuUbN1L02Ltq3mbk2Gt+/ajljcPZsdQnwoV
u198K9PxmLvDtq2o5JUhfgzCcRcNfEWlPPV+tgky5ANqat207XQxG+tZhua5wATpiP5xoFHThgL3
w9Sve8G0WKr1kncDv1fyQsgdnsLYIuzVJP8iZfTfOhF0JEl0GXiXZWxat2AYeAVThJFBbt8Buty3
BhycJlKfuQmYgLOeVUCgMmBrt0UcPJpkpC3QWW3NzFhx3BBlIE9GzrOn9Do6nQ1mKthrrfnsEnXm
48oqneRimEAfycJrQE4sMj15VRzFM4do26W4sKrOf1XbZM9r7UWkKgJWdfeiG68bMuKWsWj2saog
/bZefLRRPRsT0fa3vrA9lLjTuiHbY5FF4RUu1Xdfxak0IpBSBc2wPkUn10w3lV/dZTmOgSQvtn3Q
V1vHzcajBl4n1vVjV0cvll+AI2LQqutFu84zVVsUQgxXiIrDBQWwQfBk/ZRDFVorqnNRyZhAwlBV
M2EZFHEoM2pT61NEJ0RUXKA8DSUa+hjDyGokRgBdepR+lm1ke7qRheB6Rv00hI3//vMi5LuNKiUI
8AOk+1QhGJUxQP+5zNESU8uy3FfOcXwPJjZx34S5+T97iHk1/WH1PPIptpKOh1BnxBcbkfIi43+z
ff5ua/vr0yB7jdrQQO/93dPQ8STDcY6CCwm6HI4olo5S3imK9/OnMo/R/tj5zQWbO1P/ddQoFtw/
9bv9c1DEo2EnfXDpkEtWzPEbne9hdd8JPETawmoYJJv/yenTvrYS88b0p60Eo9nFa/324+EsP/yh
kUDGL2yD+Svvydwt/N5IqPA/dJUxKxJ7AULiYyPB1xXJvUPe6HekSGMmRVqE1hisdXV+7T/hf8wf
7z8+M4hpiK+CHMAIWEd7YX3/0TRCOs+W2uAcEgffnKV8/vCy/KiN+Ovwl5AsYbDshingYtn6rlXp
/Ea0vim7czeZK/rjd3RU59SPb8y6fQfU6iHbj7xMkNiiKflOt91tXcWgUssSOpxVbIrB2OR2jdUA
FGQXrkVTflZSYDu6e2RvIokW4AqewvSi9ZqZkLvQVsYlyGgWYNv1mOt1Y2mGVYYiCNxgsxhUcyfn
w2qAemR8Pb9gmdgkbnOoVXrqQ6jmoBMNOeX1fPjF8zHoJuJTNx+MVIoBq6CwOmjzsRlozsUubYVp
cv3kzkerNh+y5XzcxhLHrjEfwdp8GI91fug5nVmiU7npnjsf28N8gKec5KQkTAxRqjufM97grHdC
FLETp78yXwMa9wGGBbAM88Qyw3XcCccLyvbWRrmlcJcYlfuScLfkZbdv58vG5NaRibOHq4tsb6o9
jXupsu1XX8Ml3NoE4LgKxurotZ2vssYmFIm7LWVkrHDX4VEAqqs/N9yBLnchePmjmC/HWu9PqQE7
gFuzLknGnq/RQrgP8XyxTkl6Vc9XbcOd23L3sjCd03HivVDEXTtfz/p8URsTGvb56g7nS7zjNh/n
a92cL3ifm16dr/yCu7+jBhioBXgvCCfMaedYE+4l9YJL3SAKYzlQR1jUE9joLvRZN+FcaHRUHLbo
TyEVSEGYVyDjx7Bn0ZlRo6Q9QnU9vbXm4gVUyqNONaNR1Vh+ty6ocpzJxDZQv5DwSFZk68JLbJ4L
njwSZQkSePoMnXyeXy4hX3tGIo/lgJavqwKgMSN7jfZrwWXTIVGB8S0gyTp+Dnwf31XTxmsFs6dd
Vu8j1ZsDgFlQzXW1+qxQ3TU2xL+Eeq+n7lPN9G2a68C5IAypDJO4TkDoUSwKxWZqRHhH2VFGRjCH
1YzcIo0UZ2UuNp3JNk+U+fk+gvnpKaXWe5RJMTUqJAqufp3dQzoXsFM83KpUtEpHaavPRa5JBPCC
5vdGzgVwN5fCpCjMtHGjoYWmUAao4K8GauegpYiOqKbVuax25wIb6EW/Cr9W3f3XCjz7Wo1no4Lw
ABl7dJZzuV5hJPRYVeNfS8pgWX8r64vQEyEDwLRT1FU7gcHO50agcCy9ZUKsHkoLlGo46qhS60PL
YrgUJXMGGEMLzZjJWnrVbOkj41UQdUdLC1CbJ2W+0Uit9OXEMkfqmOJEWq6KtioA7ETpxYZklCDt
b67ZbQRL3y8/mdP4UPvGq51UW863Uxxq2dLVuLjHVDn66Apm9YFJPW/KZZsWNMAmSSF0mH762CX5
zdDXAzh76yIihy4FF0EsPMPWOq8o84Nd2RyIGn+0PVznHVHIJeoNzqh9UPlbAq6AezKPoFogZ47R
bHhSU/UxQfhgdLOw1E83uUwg0+F9aqIWnqxvId0kZ9wXkf1WDmyqoZY0cFerIbtLtGxY91hSDNjz
S2NiFho6E/1DFNWnyUnOhs78xW2utQprVdrQdWUwzjA9eRx5O13zO2CNaFTTsb9n4HOX6RluVqK4
vKbuwtU4tJnLmdPtB9UqXnLR4kuKlHd2BYTcdGz+eDjh1aUlLqytcP8CjexpXcJ+k7PR23D0h49+
xSPoXXqXk69DmJ/q7jvoaHs2AufcNVlbQc0iekwPF6Kw78yqoNARMR14BhPEG4Xvr82kurP88c7J
zelp8vNoSTZ6sza7gEHNINctTd2mVPt8A0ejWKb84KLuze6pjgC2SWeMpiU7C8bsImy3AjXIggja
teFktTdmxbPVY4IaUD/Y46prios62vukGu/VMF71EcTdogzvu1S/c7rKPchR9rtCwYhV+OmIXzke
2Hepzwa6do/xRvXUWaXmgTGeFknIBx3aLSsN33jSMWXc+rop1+wP6AA7dVz9/Hr+S4ENJc7SKDVc
23QhDH23mdWzDIF/EOfnNok9U047E5v0UDfrnz/M9wL0rzQ6i0wqG8u2wdf++yKgtaf/xd557EaO
bdv2i3hAb7pkBCNCYeRTpkNISiW99/z6N7byVJVSlVdC4d3OBaqTQEKQGEFubrPWnGPmaRgVpzzL
jqRC3DIrXdh5/sh0CRxrdngAc7YdpsrP7HTbqhEYQtWFb7FnpjqgJHYTJ70kb+DKrOW1FhHlDleH
0uJr2ZsIEngF9MU+mXL49PlH/+0dgrNmKbpuaKaMovD9+cDI+zLunLQ4jdB1wvlGoMSi8gtN8wfo
kti6Wz9POjZ3CMzAh+fAMb6a87QfTlUYtTiZ9B31E50aYM26MQywbKThXqLReFk4jEFH3o32iCR8
JplJmCCXJMcpvfSXqPyd64JVqS8HTONUFbFSspSTQiBiQk+xRLx5QKdiVHlvzJwDyQzU5cpQsqe0
y8gowha2jFQZWsVcR1mcrtNOe5Ea1Ycx2XvMSibIRkfxylrbJFGDCTGs2NpE5g6k4iuk4KfJIhjS
gOExWdlxpr/kWtYsbWVlTI7ACHN3mWAYobOPV5EDSkGJw29Br+Q39UjdzFFoo+UVNnGz6ramMq6H
kiVOEe31xErXtIrPYWcVq2lBgK5o2SGQn3rd7w1rx7z4YEuYoiya0HOiP2RaE5FPSWBiZVK9oUy0
6Gw9Jl4zUCMoD6k7bZsuN/CHT2do9p/SWI1eaPttZBNhkJVFR7VEQ6+1tR9roHF6Oku5aWYnhwRA
xVymfW21XyjKUZz9si3/OR54IQXBUQg5BVH1/agDv1kW/Kw7wbh40mj5rZZqyE6mhO6P+fSRZhN6
hjbyFHOiSfzGm8qO3BXwPDjOtkAljyRc0fBXj0Zp38OwifwW/6AP85dMZkPtoUNRDMXAaq/lUs+3
Kov6alTieoWMiv0IE5Gcl2AXjPo6zOPJU6KW4t+IgApSHQ7D2jfzBXmw+eQINfKglJbX5Oqtqc7s
nantayTSE6aIIB+qL81a855EV6Qe6ndQvBDWR6YBJ9uaxXQTOMnBGhqvBmVuGjMjhIjHWb02huGY
JtF1HRtXMNo35tzd2ykdQvaN8tqse/aC9UCgM5o6WwSAahh0ZdAQK/JLnyTGhFc52oOiSfdKRGhc
Teb9OrJwyy0SMWNTuVb0ZiMDbnWKAVYoUkAQ6HqK9sm2x70FTGpUBowFSCEQL99oY3VygA63YAC1
UX6pYfQVlinMtSgtkQoQ+kQa08EqTH8s9VVkxdgfC1QBTnyJjiDdzfayLvHEmhkpUhUbmtIMOZfw
Mg6ScznW3Q/SpwKyPJGb9TB1uh7FCOFsagg6XTEPJj3HWMPJYStkf+vhQu2QHWraRwcJNlKqjHdl
2bmhFF8YkU71vvTVVNpTz19FY7i1leyBQqVfg6N1djrIDoVVMwtGv2N5J0GrWvVSnayyVNoko71f
ktS1nBhXt0IdvyUSDCmc4ieIdwEMXQCX3YZFR9pqfShsmIddl0nnWSUsJZl1pofjvnpzbYs8V+JO
Ee7KZEpWAC5aTgmZ6SVavoaeQb7PeGEaawuW9mif8sk3Z79EimkNd2AYUL/JR6TKzXoK9EMSja07
BEGw79XB8lp4dp5FIutmHID9sG/Y4uxsV7NJ/W5gF2KVtKEtMnyHoFG+WNq+eFPf3Crv6kdq5MyJ
U6U9nBSoIe0xLyZvoj8ejOdpc4Sf+0VfThRx/jqw/21m0D6spGoUFZwumBnK8pU0tGG6ImqwCO+R
rX6x8P29nISUjIKSSvy1hQRarIzvvtnYkkiWyMNE0tqMTTueWi8OVME5K3dRicsnnQYA+DBsS0VW
jnaNXd1MSgBoySKvR/6uR6/khy7bl1Oh0dnS+m9SXJ6XsnWdsX3j1ON1rXo9UcRdFV3oAzZ7LBL9
Toqy6irsaU0YRKBscqMXvQMkSsp6BqxGoyvYFJ1m3VFZva4WuvyacdZr4L40db+E886onPMxRUHC
sm1JJOioiD2g3MCr96ZKucurZh1nwQ6IH9pdQMSdkT8t8mx42Rg+1Jjp79Qw6IDMaeEXd/XXesvP
x/f+popS4bubmpr0uhqw5Sd7eoyW59n+WY/7H5X/X/39DwuHLGXskcN0Jh7rmgxEt9ZuvxgWvxl/
777AW9f43RfAqpPKqRrOJ0O9iHXF5TbJ0ex9fpG/F0zF0LNpk9PaFV6KX+/SZLUUk3W+hUNuQffS
jTl7ktt4sr54GoLe+e5teit/wb0wFJZah62p8uFCcxITYLtU6oltzAuL2uom84MV8DI39u7cwr3b
md5weL6KvejbtH6i+v3MG91utd3nX1gVJeBPXuu3D/rutjpD7FQOArhT5w8r2ZPX03W/yS+JKlsL
/LevbLjPPnI+l5DwtbOqhrV+Kl4+/xTG7z7Fu4drfKggZ0Gb2SqJB6f7aaeuLbfznQvLBUrlRqvN
neEdzFW+cU6RP22La2N7E6xIDNsy77nLpgTkuKJ0tnJW0qHfFpv2PEJs5Yarb6Xbn2Rv3hg7Z1fu
x21zm/vXn390Ebjztxv4/qN/2EFLahtnlRQzLl36r377WvnVjbKC0rcKVtGKNAM/Pys3Fy+Hdb8z
PA7syRmi77PkRESxF6yhqH8PvG+ff6o3t+jHx/ruU32kcMeIoRvL5FNFO8eNvGWbb4KbAngSSnCX
hq3beHQqN/ap3qqPFNLWn19fDN+/X/6v9+jDbMNUI5GIg4RDXsq1NY77RUpPQy+XXyxKYlb57Dof
Zh0bzuIwLNl8Yk/tDuOLPG1H8xnOSS13lKL8z7/V7x/1n9/q42FSovelGXXSnyIr5eR3VYWX/38X
+HDm0yYbwkjOAYpgGjWhDuh8xXv74sG82bfeve5SXtmFNfOildWpzVO/UklXs794Kl/dpw+TW6tk
5NRYSXeaxFNZMmI+Eu/zO/XV9/gwwHpi3Ht8APNpRP4amyeyGD30kZ9f5IvRZX2YlcwglGaKc6wG
k+npTrFOs+5c03rPIpolGdXTgPrz80v+9nsJMT38Iw360odL2hjugiru+pOe/2gSP9Uiinybz6/x
28fz7hofXposdFqpjvTpRNwd9fvLPP+iqvDVBT5MiUuaT1pS1sNJZtKm+59q2Re36W19/OzFFwvK
u3EcxTR9goxxzNnAJd33bNimR44IOK+9aE0n0s33n9818PafzzXiW7+7pEL9T+nUiDXqnsJwwayK
9NKt3fEJrc5ucC+I5+AHrrHOPcW1LyX3qluLVf3iob7Qzji1E0C8njt3W3jR5quP99uF/P3W5ePI
iZtRVgJeOuVcLOSSC11e3xWK56YbfXVXuGdEXux/INwiW+h23mP5+WL2UsX09NlD+fDcB6k1o9qZ
2UusiKlakbClmq6zz1ZXzsk8aJt+9UAEk1tQsfXx621sT/pihv7qI1j0Q98/JGnqJb0Yq+5EYKE7
rahsJt8Nn1iMff86bat1frA20kb6ET5o3rRJzwkwfP1inIhLfHIXrA/jJB00ZP8FQ7PxJ5+cMzcW
u7pd6t0Mu2m3w+DmLifiku9kCAG5X22sC7BBq34d7Qg2fcy+mCnfDmZ/+zx/ve7Gh1tiSw69oYIp
pV7rG3NDLtzkoy88xHvFfQl3gZ969q7aUtQ7TJ51u4YLwSPqNql/Ha/EJuG/m4P/bYv3/0FXFS/E
V617r+mX35iq+M0/+vbA+A0bbS0ZHDTobWHV/rNvr0Ljh0UHZI8cDlr4f/XtLZA5BCxTz8XpJCp4
fwmAMVVx4FBtLAcyHql/lvBIBe2X8c1fIgBEg1Ni4uzCzq2Jn7+bB51AonJk29V5geOVSA6zoS+b
qbCui7u40UCkJ42CBKShqZXCSF6Mblcbyo8Be4xb5vl4NmYoEzEXJatO7rdhGa4ppNDLbIC4lgXF
px5uf2Ilz2PQwLQbaM4OBTCoDMr72kJpydZudi7orN8aDeCzetRmxO7LgY3NLeZUGNbxXZBoN5hx
inNLIN5KAXvrBfZNRgp6lkOCC/SQGrPjXOLJmVz8hK8w+Ho/JDjopkAbDzJ4n1TT7MtTsZba6Qq7
EnnvyOkR4p4G9PUoajeGENwPKO9zq7kGqI4/dC6PrRDnh522SWUnguLfvsxCwF+G4bC2hKhfQ91P
hPO17sw+/G7yffTGbZsm3g04AhQlsrxxGtlg1PDOFt7SSTgIpnwbCU/BRNVtlTUceaigB2++A+FA
sIQXIYvB0uXYE8hzP3OEXyHBuLBgYEiEkyEWngaMCZtRuBxq4XeQhPNBER6InjihHlOEJtwRVFHp
eQnJHsYJjMpXZftdxU5h8ed64a+IhdMiUtqnCOye1woXho4dIxG+DPSVCBBMQITCszEL94aJjcPG
zoFsu7yoc+VYC6eHLDwfsSE4+cIHQjLJjU7l3ksHZ2VjFamEZwRHFC51yvYmdhJZ+EpsfHsBRpO2
7C5GjCddJm8yjCilcKQoRnznCI9KIdwqgfCtOBhYFowscz3fY232MQo96sLpkmvD1SC8LwomGK48
rSdsMYPwxxTCKVMrM2oKvDMBJhpHuGkGrXlWhL8GDYmKsRcacSTl1poUTMdYz0VL+sRCKxB6MQ7Y
6hQOknVWCbbx9IY5tt6Qx1oFVQcJPBYoezwbDI20aMtvqmnbaTDFDW1caUHz4Ohw3WjrAyeuuASF
Zkza22ZkA9ob3GI7DDZSHi23WlUqrq6CMNAq69quzX2nzK9ZVKcr1GxXWRCFe3MZ1ktOBnOE4d9J
2M+atC+p5n9PlsrBDW99B4cSupoNodAYyAQslfaSRjW3uDkGIIJXaD2rs9LC2ka12K1TZOVEwDDC
bRCW08xvTANROGM4U6oNfmRVcEHDtYfa3sm4ufvSM3vIMcGS7Wu1kNcL3Y5t2KMRQCJANuXZmKjt
inLfQ1LhPTbNrjuQB4pcBjjTqywH6U0p6xUyChttqZJFCGHeJuV/Vyfj09Xppsfuy1bnI7VE/NYf
KxPZw4ghsZ6gqlLAWr9bmXCtUMbCsEKkHeARsfz8gR4x/wM1CZysLLhmAGTfrUzGfyzWN7hKgEKo
uKFD+8Aa+Yw9otq/7rwMmQs7ik4WBP/in5E/rEzYPeS6yMv+RFIHTUCkwyA9OEClHVnrA9aEJkM0
HEBMLINj3ACDNZSx9ZpiuEC0tbNY2uCsoV106NgQyL6P+uQ4W2hrS5jfspx+H2SiaaRyoF0jQS4O
RvVYLkLaLJuhl7diTZTvxsV8JKfu3qkJu7MjR/cDYc13pMXPdEnC5hBBKQAZYJEE4BL19g3D72M1
l7dDhGWi7Fqaq6b5rSE8qWBR7RzpLigwW6AShfB8HNLo0JXxY1vauRs71kWjGWSVhPY654sx2cbm
BvktJ47yIZ9p3aPhZe3p5tSrsxHN7ng7q1SiycPydR0MtJoQF6GPcQYZ1v5eR2ANKEQc2i67GYuF
7SGQUCO1r8rY+Y4R9AJHJbCwGkWTHCbdOhjHk10N92SsvwRd+RDU4I7K4gWWFvDntAnXfUFYYWvl
F6AgtjGNZj0JHzMVqU6V2TT/CK5xx6p8GRXnmErAMfMZxnelIvWaIVL6cU2LjkPzoWvRkekBfYds
tcRV48/A0OVmPAsdZyvE8rAwf5Aa8goY60bDXwKL457sWFgJFh+Sh+TIjeGOI8xgVU5qTOC1eWnS
Pomc6UeWOOUKlTtG3kD2+iZpXUgJd3poXOkd/GCSm2/0UP3Rq+awm0lJdFVUJ76u9fe5hFmkjFAO
knTbd0j/SbJINvRrH2DOpz5cNqZdQwa2YGU0lUkulXXJNZfUly3a2Oz5NnUXoepLUTj1FU8NZyIa
HsMEXBGzDuHIMGEXb4KWIOUgr8+EsAENI7omY1yuLDrHY2H4fa3Xnr4EZPuk2L3lbmKRWFoaazih
XMMCQGUvDOK55RnmahWux2a5xsbEVQsbCf/gB3J/vdjaWTziKbXUDNB6HYSrMGMvgAnkpSunexsI
tWuZ1bOslA0G98BrxgmfrRxvSR1jvyVFW5mQmZVkATWX5ZIOqrxRZMBhWKGcbReNM+xV+5V05IM9
lQMokaRaI9/ameE8k6bEVi/MJyJmDMDyGHIZjTkpvN1z2zuVJzeKifACc24+mepeL8gCntByh7tM
dSKSm9PxTrWRLOHpaqP4G7ch6M7VzoLdbsaG5ptBLhc3Fr3VckUfc9Fg62air23n1oUURLF5Mdeo
4bV6Ch/QxazbjCHk6pEenCokSvjCyb0fJ1c2wm1kOeF1VMvCGGRMlzi1CNCpY20NPkhDk2Bny2qy
QQXvgJhg86ljJOwee+uMVJBZw36QYZ42p3ojJ5p6n46yTCALckrmmSxiv2daL3IIuddLzbnhUMuW
xxEpKLpRr+NYtcIbubOy9kENhpCqs7aoeFXk3Awe8SERqiyD9CXn1pn66ufx8t/lUuD9PjnMgSqO
57L/+4Ipfu+PBVPkquFvpA1IbKzKOvfuKKeRngaaAvyQSFl8t2DqRJIQCstyRofSFEvZn0c5HfaX
YGngv2SZg7hh/ZMFU3mr9v5VGuAop3O+tCg0ouYmC9dkrX9/lENYhwCoMcuLqZEtvxh0BnilU5/Q
R8Y0qJlhnie3l0eZhceQ93KWK4Vrxla6y2y5vI/zoD0ydeEa1rT6OulNfYviuj2NaVB9rzohhM2G
+BBl1sypQ8HuU5G+wOFPkaaLtsm78zpBLSPJJkplBGfEqQYKU3sRFKeUxeK7LUVXAAWM81DBPKeG
0bhZbDO/7ezZeMgGzlwjc/CxayMLoFdR1q7VS6mvGHP5DVEO0Q5aq76ijszuDTkrtqEBEauogvZp
ICJvHcl2vLYaZ9xYCZmQGCmry5GNcQYtGnJAWK0G6NIwqKVCH15KIDX6XiGOfkbLV6Y9ws6ul171
0EmiE+TjvoYO2hbNuRVVUGlCZYquo8RBRYB6pSYyC9M7y5DDCZqlU+fg58NJti24igOqyRV7jyze
m1KBjSzus/k5GdQaejssd9St04M5ZtrTLFlGiYTELHys4cbZ3AOM6sZyeRIUFNQ5aiyji0iRLIeK
swmqIXxmJMWeXCzLU9BGy6sZT/eNVPtFGJ9JIqMsV8zBGw2w0VI1Ila0lX7epKgV96il5kNaThCa
UKNxTs5L7I3xGMbIejoNhMiQV2BO6jvdijkaO8qtlmL7qyRsLZE8Dq4Br4rws9a8ttFg7Tqpc24r
uTZPk1PLq1wtHRlLvlHeBK0MZGfInGeJZepMy9i2VVN+TnKktGq6AWSRxDl8PWZ13a2mIAZDJpXt
bq6C4spUbHhdMluvcFGs1eJYye0UpKh7Ej05UvBOHlBZl964CO9ZupQPSz9JewYvaCWLoFBiYYJ7
e8nH2yJpOOGWEzEv8VRdRANxVAXpB9mq0HU0OW1LcvBAlme3biejXYXsMi0vhDRGCKb66iAL1DOQ
4dOoXVIdsdkmlabyWpXV4tciXMOpWhOuPLKFf48uPz0xTJyfzMXdUxG32VPf/mY25jf/nI1lEeEN
VdlQTTzqv2ClRQAm9TTdNjSRX8FE+MfxxSYQF2UkSd0Wgum3H/3hrCfriQgNkZOLr9VSTfOfzMaa
Jsrjv8zGOPdBJlHZI2BDZvL/dTbGzKelzZSV5/1skjadqJWRnDjvJOq66/LswmIb3Hk4pk9GVV+A
r3nRmQ/XjZrfDAoIn1zJD7XaPJB1c5a1xVWcx6tOUrEyJ8RcGsaxmsrUK6xxE2oDW8c2PfCC3i1J
8QpkcHLLQW2JjTPLSyMkazcnKylCgdgj7CPEEKl81iVH5juk+DZyam0olGeQwi5JA2HmYyexlR1o
yiY+wxPchZtUkSgvyINjglOptIS2syQzYwgVsxVb+aa2SJnL0GbfaEFH9SjIx4TAbIdZ9tAkcfuQ
jEGx6imoq/7QD8nidX2yt9rCJBXEMdqRqduQVs4b0C8trAH32RvoL2fVDYHfTM+9mUfumBV3liAD
suvc2G+sQKCBVUDqpTXCEUwEUVDry2MsGINq2wECATtYLwGaB0CEZUASBmBCqVl2HaDCwcq9Yhh3
1GVWAyDDaTRAr5oc9kAcNpl6NbfxUyWVe0iHEgev/ojOjPUAPKIdobQn8v1q6KUdAdprwpFOtjA1
a42bS+OWdIGzEeAih9lD6KBbBsTYl82zDJjRgTWnAmpMnQETsbUNlPDcJOjCrbPqOgPtaBXxKqvk
zQjyselsRN7jLgEFmQsDP2hIx27Rs8OKhOmmgtT9UZC1oAOT1IBKjgIuWQEmBDYUAJ100u6BQMCV
1durCigl4t7TUubnNj5t6o6ngpSwFojlMpbHAailTsgCz5Lc0NF3gF4mAWkdQDAXjVMJUMzESDaV
KT+qRuLbQDMr9vJhiVdCPPrQcm70hlDzXNnY4DbRPnZuD4CzZyc718mpMYkPobrVLdKtAbCTsxpP
GCEtHIZdiyoQLYDrgPik8OcNRXZngf4s5Yi4A8kPKuMAWcNXQYTKyUCY6awcRuChZB13ngNONAUr
StTmGUV0r4lgU4IdZfbfj2BIy5baM87818ZSEb1NV40glgbhYFxaQExjc4RmGujH2VDz8yZD05mn
GdDTWC01CKjsochNrc9lWEmjwpDqHX2XUXP0agFUqiArzRCWZEhLeq4dLMhLk0AwTRUQStgLK0SX
j10yM/zANVVVsJkEwEnSgselyY6jQDvZeX+TwnrSJM1yU4F/QjwM2+ANCSXgUFKEX40UygIWonIM
dP1KFygp0r46NxF4KdaziwTeVKsTm0OFdltFqQRoxkr8elKOHZQqWE6egQdMHtt+zejgaanoSJ0e
thVZZF4B7YojOw3YuSVni8CGAFMcXCwFPlZu1qdKALPGOn+BfcHDWKSVOgLV4gjLzYKzZWT2jphI
bQVKQyM5FxhXILBcUtJ7pUwplxM0uCfYXfhmgHhB82L7cN9RXHJnFdCXlC+nXoHKCQHMFCgwyYbc
VGGjmGKCe4tkuDLhhoEIOZM4ttlSn/mgYDlOxuORqtLsDgI7BsCh8hyBIlMFlGyMkRwn/XwoBbDM
1OLzNK1vB7OHZxpNN6FpMN6xBRbQzgZs2oHAn9GcwGkGEc0RaDRHQNJ0gUtbBDgtMsz033PYTz+s
aHT/z2v/sfxevvx92Re/9MeyT2kSoowK+4ZEOlG2fHcIY9kn91ATRlETrwWt2v8u+7rCL1kYZ392
0ywOdf9d9fmJYrPsk/3A8Q0Izz8qWorD3K+LPv5bmz0EQZP8LdX+cASry1onNDaJLkh4xgIJ44A+
jGGdK2ocYZILpUBa1mlVjmZDWWiRnVUbW0TL0YDpGh9yi9JdjzjNnB/APbeNBGbliSkxQQg7FpnE
C6m3wZkSJbOyDhdwxxekzMUsirUeidQHbAVAnxZjyTArtQ40P1YRC0vYMFN89/oOf/xMT6unoYVf
lp299XaWyRJDgpHCArytw8ZJvEKAOM16zJrz8O0k1Gtsi9ch50QTKhpxPW9nJSOGq/jvtvdt2yvc
TJ8N/aJ7bV7n34z+9yUI+T+qcFlpmPTFMZ8h/mc3mTHO4d+S/5sIz9D8Y9NL1BuJbpaFeZxUtz/H
viYK9lQMhDDpbS9s/JMdryVevV8HP9Yv3Ga8T5oui730rzvevMr0clZs5Fsa7I1KDvQVIu0HC9Jl
afV3asdeZ7kMZjKyamWt1vZl34W3BGlRv0Qp5VUAietiPpqHJJRetDG9zbGvIctukg2e52e6R507
jyF0tWQrh8WICa70Dbp3XgSilhKw8igVQ/WsdJCANFI61wnmUn+Jku0YN+Y2CJuzYoygQ2vRXW6U
B7qRD4tEMnFlN7DA66c5SS8pOD4RenU/DbPqgTE5diyg3hyl7E7qZN/Dm3LJEhruZtl+jMFU7aH6
BQSJUdyVq+Q27bNHrHwLmV90elup9KGNb5dafRza/OQUaDVN6xrEdYq+vQZgg1d5vO2j+MGOpe0o
l3dtI4VnllqxF9a9vBhOSoK6BOXaNMcnvRfJWhimeLm/l1UHCq6gUGGOJyemFlPG6k4v/QS8ZDSX
uEavQ+jkFvlc6QM5brXLR9y07cKRlR5dpmf4cIwm8tJEtW8DnUAqo223g+kIKwXWrEA6oGEct2VH
GzeIxcYyueLEe4B5uvg6iaQe25ptXWbfG4lOZKe2RJ418qYxl8gzhv6CvKytnMjsWQFib6JCe+3i
WAf9zvWyDNtFKBLg2RMvUNpb2Tzg71yVbfIEC9lxoaccxi7GDOKccoCIZmIIw1qC4T1a6FCvLIN8
l06fzFUmG0SWRZiewwUwnyloFVmqozSwWkwHcZd7sUWTe44dw+3y5cLprCejkna4XDq/bwmXEyGA
Kmlwo4V31SIf0CQncBbWE71OrgoRIRjx5CQyBQ24ALUIGST5xz7UkkIRrTxW5BAO5BFGbftc1fSk
FBFVuIjQwlLEF84iyDAl0XAQ0YZDnd71MQvDYtPCiMk/BHOg0S2ftqwEpQ8GAOfsbBLyRw6LigmI
1M0fPA+Sx6tzHfRRSsAVpjvZy6PcrQZbpWGkwQ0qHkEb0DQe6WiplACJywqAWmLF2qkiRyvD6I9n
6zlpw50ThRsKnuyj7fZmJIKr6qXbmEguuaDtRERXaZq7VA7PJaK7ija7NVNy7YHUHHTCvcRJqxdp
X1UKwz0fNpRyDjphpgWxYJVTAifTfYO4sDqMzkJd5sA0a/uKQLGRYDFZJIz1MAWCsLsfRfZYqy9+
TBhZJVLJsP2dgcS/MuJqTwYbfXM4TbNIMqOWdq4TbRZW1nlB1FkrMs/sUL1uy/YuJAwtmJJjTzha
FM5XBY5ndIvRXZpFwObjO1h0GyMst7kZ20ThFRtzoDMfWx3YHnDhsDQuaWrtIGhc5iKlDd48RH4Q
RI58D2I8o9qfZaTF9lcwA0DlgEtfROob2cT3LLJbqx+8is6XOi2SBzPyCLnpcSE4bpTGdUeQXEag
XNHQZTIImGsR1lL3Xy9tcB+/hdBZb4F0qsimy95i6myRWDdPZNexyV/I+Mn2DrF2OgC5SeTcSYqz
j6LoXB+yfSCS8JIyPI4iGy92CMmLScuTmgwrp7OpS+fUiDw9+h1+XpOwR2jUt5gUn4noPY2QPYSH
14t4hAiHnitC+iiVEu807pVQupsI8dNIOZDBfdHDFMza8UkVeX+xSP7TiQCsRRZgoxh+IdIBazt/
rIgLnB1OJx0BgilBghxlRtj4yjfLlM/qdiC0F+dwK10OMWx6Vb9BAk4vZHkGKHWN5ig8FCK1UCa+
sMqLoyTyDIMaugYBh0plbiwCD3WRfEgnR6cJRhqiiBlQ1fA1FTmJFka//UyxUBEZioqCMVTGw27V
SHwYFJWnisxFM5S3LSGM7Rhf14QyzoQzBoQ0FiKtcSK2Ebv2hu98E87ZXUdrdTfpF6mAiMmDx1l+
ZlqZQF2V5yOJkLGIhrTNYSuRFdktZAu15uWSKYQEOtwaEnhEuCQsicuhV69TETspE/OMcXKEGqaM
l5VmHtu3lErCOUms7EV4pfGWYxkgZ1IL2H65TchlVJtuXi/gTW089UingNWDIRJqqnmutg1oOyss
HKzSqK1yobtapJh+p9BihcMA4r/PnwdkWqQmJD4rjIHJXsNMDmtggmJglN02QFK0moTWqxyc4QzD
E7Fa0vyjaKjU8ha76VyknibUYhSk7bWRZXcD3MWVLDRlVmQXPtZPKihEG+c4PEOOzx0tdrqn94li
dRFEuUbySYg2Llsa1WeUkjDrjpluIxjLKdJWIyatRZEOo9acDVV8QUvQ16dkbanLt7wOrsAE7/ua
jr+lFeQc2zgRlfo+IG7VE53CRqHTB+dv03OUJU20ex44iiqp/UBK63EYZxYZEDKYQSHNuNh0b/DX
zyvbip6YWb/JWrMNxuhcNqZX5Gh72CkIvagsMZBKr5W0+2ox9lacU2/JNM+0crRaqS+RRD30LNHs
uu3VT5S4gTGyvKL9HbvA+XZVaB6MKd4qDTKzFBWTM+KyltMVrZnQMxPt0hnz625iwSjppuZFcVMg
j+Jkm+456+5kWTo6uuKxFSJ+tN51ZExLabQLrXoP2eXO1LU9SStnDcIBeld+alcvQbIAlaY4EbBT
mI0KGHm0btrYM+ruNY+cg1SQ48Ggm6Z+3zvZCwh4GKFOsSvl+KpRgXWqRB/oCY3f3NxGE7wREVLQ
FZLkESHrzqjzlmb06WGunADjXe+0fpco27xX7wdbh7yuTD6ZHBTsJZjajMe4yGpm9/Q+Q5UPbI+o
KPJonZQjDRrCnYS2wnGCDYKmC3nA+kfR4mYeFV9LqrtSgQFCaRFmyRB/D5py8CZqY+su0k4Aek5B
qD1OcgdhhMa0HlibxIl3Tiw7BNQF+yFdXqvZOHUVxB7m9+5gqgyWsBwNfKR0iqO5UtbBbNrnpVKe
FXq/LsG+r6JOvkQFciBWYvGkUPPbFhFIYESK29D/2Eaz+WCMyXztMNOs0myC2GX3K2ks78gauawk
8wEYakD4dn0vD2xfZLP3U7omXtHyre1A2Tpi6qlpO+Bfj7Zhk5EQXqXHCtR7GkrLOfSVfaUIZaGJ
AbJu8h+DgseynutipfM/VJQrRJfXId2PTbbku9GivDd3/WFpxKpt6PeTcMUnMtSVZnIyt571k5LG
p5Rcb5AYJHBGS3uogsZ040nD05iFZ2MTXDpt9iDHlb4Vr7upDQSWFKzmtOm1BzvqSOzQL5Vxig+O
VuAzrnZhJd+AaoZHKqQTY78J4ebL8CfrUN6AdUeDaeQ/epuEX1BQUELsG7CFZ3GX7NMBBx0l4HWr
dvezUl8BYQarX1mnRAlPOXWtzNLnfTEl3+rMedAn7cpmHt4bGv2/PjSxL3f6w5I7O0eQNxM5LjbF
wB+WasUvKdOuKnqCW8SVKhx3AXAN32Cuk5KoHCMaWLJr+yfxNdVMaa3+JMG+O/Fd/GwOvIflchR7
d4AScl86DyZGWdZ4B0jEhwMUnT4ZNm4RnydVhSfh2C4TStLrzy8ivDR/9SX+uAgUDVPB6spR8tdT
WhpMjSa1bQxuZCcVR1mKXMFTGm8+v4zQxf/tMpYwrdGXtmh9/3qZQEYq2yB8OM/UH2N5K2n/2KEq
gGDEX+n0VhTj471qndlEY5Fn58XIQNvawdM//vxElqrcIW6UQVP9188fWvSFsYdRIOfcYVwYzheu
GtH++ez+fHjWupmi0WUqPddzJJ9eqvgN6DB0bq9A+z//Kr+5FN5rE7ke2C0ALR8eRWaHIOGX/8fe
mTW1sWRb+K+c6Pciah4e+kZcDQgEQow29kuFDLjmea5ff79k8AEsu9stHnQjWv3QcQzUkMrcuXPt
tdfKojU98w1amPIE8QxPn7IN0379+3uJx373Wm++FjHFX9HJZSVIWsuM43WuTWGcGpy7anwI5kP7
L3pDtr3U6+//3UulFuyuxn66EQo/eFUCnLOPiK04/xdzbcu6tID0hK0gDijq+65aDXeKjI03XVca
5L9N288N9+7347Zluby+xfvpNlYGuZIhp+vU3oTuF136D6Yz5BMdEBTdOOMRu3n1vYRFbNS6pKbr
kAhIVSEe/ryHDzapSjMB6I8KF/wd9JlKKfm9qWTr0dp01lmDfYVc/4vYte1LZxID4+IBgwGMgF9f
vYXjJxDIqeqvSxK/YWrTj2NctCVCSTMoX7//Rrbci9YIFeUsizIR+NPbe/k4yGtOaKRrX5yp5wEC
c8PcKiYZOdbl463+y7rSGbRfQ55X/qaqmcfvScrir17gfjhXhGDoHhhwyI5FUf5vwFM7QAkOwSN+
8sxE/hvuV5gmdNVQun5E9X9gnnCucJQHpXyUw/xTg0TjcV3+He8E5wrKgOjFQY9Vhf78btZTAaAG
HhfxuUxzxcTQkbVR9O4TMdBb1IW0zn3knnGEWEWx2nMEoCYweDmSeljItb2N7JQQ46VaGqXkfAoO
uIPm5JMKTAzXtyM7bg7N2p0nvXLUURFMSPlxHU1mbO1fKqOemuiLAdz7cFcwy7AgONfNA8XSeUel
u5bQ8huUnN4M/Q5+GorQDsBoBW9ACpLmKMzLo9JxTiq0wTO85UayegmpI1ZVSwKc3Vhde9apqGQN
pR5gIqxuYgysMRO4xcvQOLRct5nmKGIuSgSfpg62ixPdrJb4M7aHtpuf1Co65Fo4j/zwym1xvQPA
QIgp7y9SRec0YeeHVMdlYBhdPqGug9Cc3dE9kMJLowlj7WjxPZWTfDGoUKECDwarNLjXZZzRi9D0
MzntJDoewlWkczgKPDWag//GUz+38CzuswEBHHsOB3npGzVq8118A9gpLRNyY9LMC78EEE1tZ6mg
1TdBKGnlpOp1gSmNWvcXAbJz80aIgKO7i2OZ/R2eG6L0anrR+0gz6rbzJQwV+AE5zRMuukVNrCWg
u9r1mARfIo7yXUzTSWBHyEMHoGKANGEhfxfw6xFqmvpMDZph7lcmClSuBhzuf/ZDnt+DMoKJZjZO
TdLrxkQWPE81fZ5U+GmGEUaQ8azzyokeoMo31ApWTpCKA7mvaGR3Utqu/Ft3SC77Uu+nmQ17bdTI
tj0a3Yu0BqVArGvWhfxdrNXOTEkifQHTfp1l9mco9XzvFQVZpS9Qgsy/KE1wWofBaRlwZJI8BXF9
k+4dXUUmyqkAyRNJo+5c5/Czs7OUsyM6SxZ9VZSQvCqgRp99KcIiOCxipKLAO2e9ngLP8qAo7SCZ
EbdHhSKfq2o1zY0uwS3JPSm95phE/KaR2kVWpSs/y0CbewDhJKimXtU6gBUdkE2MLKAtt7djEUA3
w1Y07BfUeAeUx4t4kpoZiS5vNVjnWdHVU9gWV3YUH9bATjRutitXCg4H2UHXM10rRnqutogmGpyr
GtTvW1GsEJhHQ+LUZP6IZxQKhCbnBCZo4E5NyXcnhWMy5FwURZ18ir5kgpoS8Fkit9/9qI9mfaKh
0ZiLpRpV33rs9KBn4LrZNyj6FSGGUo6zUFLj2Fc4Jo7AduVEHbRgYqcOKqFST09dr7lT5I9gY0g2
VkNo7Hu9Xy8zWHE4Jer3DRv8YeNH95nW3hZjcwc5MUQjChTV07rzocFzKwwgBg61WdP7rrbI2TYp
p0cOdPUJsYfeMjsHQ+qLQp2kSX1spGA1UGkQyrxp5ci2Fz6sDuATPCqRakoVpNn6cpzbjdcrczuV
9B4CIQrBR3jUDgC9mjEGZ1KaDM2V81TbdEpJO2n6Bv0OI43923LU1XYd1flR5lFnz0O22kyP9MMg
4PhfyONGKb3LytXaaR31S11Pm8NSKvEGlcwTw+qDGU5xOuKR5l2RZRWQgFmAMOm3kWQiTNniAaFA
I1xqGZM5Sm3M3iHjAnhkX3NX3/hhqc5qG+VbhCy/Y9GJKKafyThPdXgY0B6CZitUiyHqV0NezfrA
oYs/l1Z6Wl5IbnOS2NlXrKS+jxLqsT3+iZWC54aXG9Q1tH6JcL0hd8jaW/kmAPExAxfBXNXw55qp
0HJWI5eqhmduBdwSDl9iX/0+KjJX8YzvUZtg0BjMpHGpDn040w3MJLzyMuoJPbIvY2YAHHcS+9ZK
jmL0T/tsgwjNsa9p+B5AKJ0WwUgNV03OTCtCZddwaJeUpAuMatRZR9lkFvTNCr2iE8fo3SmjkB9Z
KafqCq+Jhaa3xHY9nyHbZQHkIDCPgvp1Hc1Gw/uslhU0WCRD8dyl8dOOnI6bQzF2IudIG9H1G/sY
xlIXYBxBQ8A66XP4XVl3mts1gow2gLmnWOugS1eYJiXoKblrh6pdlVQ0kNUb0+mGudpGVwPtmbS5
gU26DhuIETY3btNUs6ZLP2PotwyliGdsxtumcBB1hrPMHBiziSGr0rTM6ofKcW4I0IdyHp9GiV9P
VE87QtDgBmH/hRRY/RRB2uOi085bO790jOxbwEaHmKp8psvYYxisuxbLPOyNlXJqyCXlopYtoe48
GkZw/PSj6NgxBuG5kk5DWy0WlRF000CvEBFuzslEDlO1/tQmGKHCpUVCSmUCNno/j+SkBfK1i5kT
gUhJHj+1KDbOzAgtU0lSFqbq28fwjJ1phTC1TFcFwu/1sknpVy1M7Leq/gbRZxmPFjZBQhY0p9Fb
SJ0C4OeYU2r2uBSy0mD+quemAsoqVblA6eTkeFRjTeifgdVh10dpSUPJLTinTeqTJGfo+qY4FxLk
CHBGdzQmKkvCsM/VEnk0W8Gx1Mz6uzTzPnNOXlepdYco4l1vyoeUB2+zyLvNvNyc1Vpw7Cb5rZzZ
R5oOw9tWT5DXw2qEDiY59k/Ustt4SQwABNs2GpdeE1xA+sXvtJavUl0EccmgakOR8r9p9xPBliz5
N2l3Fm/SLbZVOn/1Ku0GgUIIkPLLs8H4D56BeqCTd2tYkmvIvooz2AvPwD6gJwcshggva6BYUGJf
yLXwbjWWjKAFqIKH8Edq83T/cfh6k3ZDZkDVEhl8WqZUOA9vD2e6nYQl62hY27VXnmOMmVwGSm7d
ZrGuLocuir4MSm0d2nUrr+gLdtGtaX06idvxk+V09ZUvZzF2RJRITSdz55ZUl5g5Fz6+LvJZHPvO
qtUU99QwnPJC62v+voXjO2vGmhpNRluvRNLYq2MxqWq0fcFPIyyA5RRXo86l4kGTYZlX/dfE971l
VohKtVSHM3pkB7JeOyehHj45KkVF0QLgJtay4QxEF4LUnaRR5szLrEMAsHbcaR/L64giK4lTFE0d
s4gmfmBgVyxEHx2tpissHEVMDUMgbKXTL+oUt41x9Egw8i9+77lg++00EGaNGZGkD9PoWB0d2Je6
pZ57ikev37AMGq081PP0wsiQxg3kWlrUpjcuR6/Rlr4vW/MYrpsiFdVxgJ3KTPZ9fRHFqT5vVdVF
YbW1J+zZdPQleTdxs/ZiLEO8IOMK0rFkjBPJMKg44NGses5ZqJHQtwOjIzU0hQRdrs2SQFHWFXL5
s8Hq8uPCr5aNGn4tcqufJDEm1WgmhHN0Ype+V4z11G35wgh15SyWIvnQNZWjkC68QSq9aW+0i6SO
6J8cm3wDthKu+lp/wJYdR2bZg15t0P8Mpwrig3dlatZFYnkaWoT9Qm3jT2rY1Q7V1TqYoIawbgvl
PFMpAXmVRcqMvx9thb1K2x+w/tzF6Jre5ggR9Fb3VlVFEmilyUmlKQ+GkTWHldldtQgkIKNAr14k
p9g/JvLa8pwjGlwXNJWdhr2zwrls4UPhwqvPU6amS8+ai/GiF6yTkf48s04OHTgl0LuGlUEKlkfS
DYa91MR6/QTBeX7SuF8TtfymdbjGOFDKewvjA2O4KTCNxFY6hzqRV9AlUuTnz4qIRv0pWE5zp9vC
NkeDCHLoZv2p09FUgzZDEJ0qNAA2iKiy1eYObBxLKftTj9rP8X+D8WMwFgotvw7G1w/+JtmCgYi/
ehWMiZqqQcClq+HRQe9HMBYYCCFaSHeoj2H1JRgDdNAZQfcB0AiExMf27pdg7GAviJUIEPxjLKZb
7Q8atQ3lLeYrMBDTNBRxLxSG0dF4h4GkMeg5VVp73Tp+VM1CTbsByjwK01RaNrE3V2p9nBoiaXLb
5rjvBmWSJao5V1pnWRuROYUdoBx6IUrrUobXZZiw5Sv0L4Pvz8Mmv/PUXsGdtm56TDTNrJFmmtR8
qqCnXw5J2C3M0nTRFRjw9+0tVCUw6sittlwZKn0OhqciNGgp32q3+i7Tx3uUd+kZBUzB7smqaE4W
fDko/QWZl3lR5AnH76izZ/SXIeRDdxqNlkIdhD5VNK5zZ4J25dzuo8PQa6QjJbTceYh8AkSl4F5J
4V/Oqpa6fA09+cisXPLcfHQntYaua+SmytpVQ7SMmpR/8530yEL6f5Jz+zGgNbe0sFgCpCk5sDvY
hmgiN9S6VWzhQJ35yz5Vj+oSAjsreFPHWnFiem5OU0JrkMmFl5C3RMvHSSvJ6EKZGqrBSTEsRkFo
LpuSkxopZumbmF/b0k0+VvDQSsjhsn1sFOM5xINhBnj2WSusu6zMzgra/WFy+EtsJM+N2r32WowR
uq6ctZHzvcz1Y7lxVkbVIfhRSeZUSXULW97sNuzipZkGX/qwxrzPkb73no2aeE33d9x+NVLnIU+t
4ljR8T8NU9gpdIFkkzamoUTzPf80CDqo75gOfFXT7Nwewk8YICf42iN4GKdGP2cDhoaeAUGMVfWZ
nu8vNBpMM13N5hF2DZPBC3DFjotPmeZEh4mMAy89ux4Es/6aeh82iOIAHLRyPU9HpZ2aMZVoT2/O
c3Fipjk4nJccovW8viV03ydeSuO/ptzn4ryNg2O9TF2VFhjO4h69KoemOJ+PBUSZiOm6aCh9QXgT
B/lAnOlzXTuWxCnfI3WZanbGQgACGIACdCABTWADjgvDVgmraNaY1XdCsMnTDsmUtZ9Pc4EvBFA8
TB9WHE2OiJkHrBG3p1raCmTCVYopTT1QJgAtPBh8M9/u1xpwhgqs4QNvmJF9LAF3NOpxkszcbuVw
TXx1rnKBjJhAJFFifracZA12RQ+/Fg4zFzglQhgZG5WHKq1vkTKXkQUh7cjC3JlXllNOM6d2cD9B
ryXKV9hULSopuYHUdBwV3mmd5MmRArQTYDKoAvXoDfQWS6A/Zd+vk1ilT0OOv/ggRYYJVGXKnXUc
Ftap6iRnAahSLOAlDNlVHL2jUaiIYMXnA0OBRQXHDciUCkKlgFTFArKyBXhlgmLplvG5Kau1KuAt
6JvOrBeQF2QVvGcEDOYLQExq6gW1XgzWzLGfSmSSnel+HgWMhiFKhWcd7jkCYuOMggxpHc9yEDh3
LB8KAcmpYyyM11UIqcB11PujicOwTluwPBVMr+40JFgEzNeGlY6yNzzUCAwQSY4THUww8H0LIzpg
whi8UAY3HMEPXdA7HGGAFAuUsCe4TF5i40rPI0gFnMALVQCRCoik6TRQi4Aoi9R2URpuL0rQSxcU
s/WrlfwIa+b2MhBAp2slFzHIZ28F0tIHCw0EKCrX/dIEJYX+AzDYq8aUYlE8NdMumscCVh1lfzUK
oNUgNZjBIvvuje51kZMuDQqeyZoAaHs/vC9zGnszoFtZgLjkluo0FcBuB03hqAbrtcRpdCzGi0HA
wJIAhCNa7XstmDcCKQYxxsuoJQstl8hiQadTfG9aCIBZ62jQj83MOHST4TYBha49eVNUfUAeBkBt
g1SbTXKjglyPVsafqliEtvphCbbdZvYJ8hJHYeXiK8Qkom+ULjZK14vBUu5GEHLDI2b3YOYm2Hmh
lA8AnqsaTB13gLklQPZqaKbInnzJsBzF1BP1f/B4VHSOLPB52asP9ZZJIBOPBIBP96w9MwSo3w/W
dQ7KP+rGQ1QTKAPNzOboQh2xuPtJTW2AjpoSOx9nXUL2WKjUD5B3qDBhpWfPEufeVkVehKNIabQt
7nIj3q6Dt2HvLOdZ4DcoUmMFjdKLubZtnOBpKVYXZVXeBpFyZaRNPCXvv4Fj9SXEGWRSEhc4t4B4
xxbS1W6vgPzb3zT0pBelUx7yfN/KEK/Z1M7uK8R9cEyEK5wiRHAGb9CYuTQssufhuMrPuhx7Jogf
kxpVD40+ubmTNPeuSIdlq7jXfGqOoVPhk+3i5N26K+h6zUT3Bv/QyWh988jLMWpqkBariWCubSDI
KrPK8oAiAJpkWeMdDQapvkWcRMuB+kd6NWSjvwik8GtkYbBDw66G4+/CdXG9DFEq5MBzpRi5Mi3a
wlqOknWc1z5bcaojY0ZqNEW/awC8Vaq1g5mMNyTf0aPO6KRDFAzbnUkleaeyFuDTU+ffbSkFOtOd
L11G55xU4POATtQm8rGYyjH2kjFrvChheRLNabpY6a2/8AMahDCMAb/BxtEpzrI4znxzUgay59H1
VNDeKCtO4T/xCv5bSzR+C2p8ab5ty6LfQhokvAgjyMKrRhPCRT+yaOXAhG4j+irwyngjxOfwE+wQ
QRp+dBm/ZNE2XRWQIOmfwFzJ1v8si9bk93JH3APMxKSeiPe3CfTyFtKI67KW8ZOX13WY3bL7GAsz
0uj4wUtrQuU951zeZUdoszlnfYQPWIZ0HML3+rLMDAopKTtfoDvGaUnaQmkqgkndmYu2a65iu89X
JUTkvCUrrO07pY3kmZp0gAiNIKd3x45rH8KNl2c5KjtNxQJIHZF5dPpNl5ZHeuCn14XnwcrL8zsT
Q4esyW9KRc+nNDkG8GaLu3hwIojCOttm1x31ed9jSZv56YWs2Qsl1PVzSTNPXMo+87qT3WnSSUik
K8IMJi446dYbq/Hu3MTGFnZAS8wb8uKY+gcs00y6rGM7hq8PuTQxab7DkAV3t8GyZm5g6lM2GJQS
3IEsRy+RndHuq8C88A2acWtaoGh+vA1U7brOnHwmhepDHpFBuqN3U0KFDUA0Guo4k2RUjtzCuUca
KsXAw8fFikKljN4ANrlJ6p2Eo3OthJRIDOHOXKrydW6FKgmovqz9vJ7GrgvvtDY2Q1PhJ2hVtyhF
YGCHYQUQKkUfXT4nqCvY4QUXgUN7gpRgwLMcBmzpaFz8Lpf5UjZF421w0g6Zd6yF1SV1KHYHQ4bF
XyZ0JZjxJCRbnVh5PLNGRBwKSUKqIuWwV4KZxlWEMF8J8Tut7LWj5sOCVgt10pqYhaOEiMxt+aAW
rTxxRsu7kJpIJscx7hywibNiUL/HAAbEKROkxA9V5yz2wVMAnOk4iTDWweQgOkyRs1l6Ubb2k5J+
y9hed1JGCmmi/uANGQ6DNHFWMCWbUj1DKiHFA3ssYX/D8VOaLKXCjDFI3+rTVmm+mrn/CRZ1g9om
Wa3qpzMUbxg3j8GNU84FdgVuFwwUSbNvCRp5dIXqSz2VLhQ7/67Dy8BRcdEUvT1NI7OcynWpHZtx
cZybybKvDfxNtPWgRGu0nXoc2ynXyVn4We7cGyORqiPiM+wOybopaw8PNEU9dXMV/yQbRzmyjxDN
FPkyGeqlDP27iMLLIPDmZhN/6eTyGxBhBomYev5QtWd2GTWzUhQmMzldGTaDa+jSkoMNaq0ynM3G
GaJZ6lmnSCXe2eqozap6+JxrKvIsCmLzFUSWrB6xIMPuK3JHmeKDfNbF3TefsYZmmbtkVZBlMzW/
1dJ85WTV3LTp+EEbBacr966WMdYukTGT4q6YggBlYFwN/mFRwUkMc7p0MO7rzlh1BZSExA5PC7dU
Ye8nYFOqihtT9dUOixMsc2+UaPyk4GXH87E/6/CdO2dV9mk844Fn3th2GC1FmHagFtWM8mXlaF+H
2slpGvTjaUAZailFg3ScJRwZU7Rj2qi40hFZ8fPo0jZTY5ondA9D93SrY9fiKmPpG0eJpc+xsGzA
EqSYs4p6EcpqOrHRvUFtqwJLzKxoSg8WhRT471PVszgeAzTipBnPXD8mO/NQAoCpABlXvoNu8Ux3
+n+wzz4/4mxTb+ZpTQvIRfNQDpcPFepWPxT2xE/PM1wsr7P/7JdeEKHtF3rm7FwP+cM//7G5R3h1
FlR1GdzVgD8/8XneI2CPD/b41L+9Trzh7Zp77qDpBzplSROKHBxZ8fnHX3GGns3TjyWFrmAoPZou
+g+ffw7m9mqkfjUWv3/Np0H9/e/89hXeD4VKteQNGPjnQ+EcKIIobFFfefxwxTdDoWoHKi1nCJKA
0+3lIMjvWWF/Pgj2AaQwVQG+fBoEZt3bQZAPSPQclYCwD4Pwek1QM2L2/vEk4AX/Xg7WgUCDabV1
ts8BsRzoY8Js8Hm97MMgbIkMwujkj0dCfNevh4LcW8XfjlguPu+Xg9ALMIHHKRLudWSQea0dhwLR
VoUZDx7/9KaccN4uCqTImTZoEzxFoX0Lj+Kxdx4E64BCLLK0HNsePwTBt4OgHqgw1C0hCrWf0RFq
+M4TQRWxj76FpzUhVszr3VIVmoQ2W+WzKuK+TQQee/d90j7Q+JZl1WY83769fGCBPT4qfjxHjP2c
CLQh7DgRYF3AnUCS0vpFRFCF5pmNkS6xYj8H4SmJeTKu+5GL/lHuaB9YqiP0YJ7G4KfcUWU+CKVp
FDMfl8t+BkfWxNN3tMtQIN6NMLeB/8LzWLxbGmyWlg2ybguHnr2cD0LUZ8dFoR8INyahUvIUHclG
38QHdNFVB0FW4Z68l2Og7Jw1QQ4QIKiuq6THb15eZXRAR6GAEjfEZ1/HYPcNQmXZ0wtCzeYX88A4
MFgr8B32Oy4oux+njAP6m0Ti+PSm25JosZGAmu/rmVLZPS6YB7weqaHOAe3x825piEMVPyN73ttB
2D1jcA5kFgRnpefguCV1hOGp0PK0FwdrHu89xPL87eyyTeoHmNNAYn2ZCe8PUop9oOq0OVqC0cpn
XzOG56xul6FAOsxUNYMD9lOQ5FXf7hcyBDRSSICGPd0pRCPqjhmDdaDJNObTTfgUGN7PBzJIGloc
poO+1/NB330omA+Wjkqx8oyz/jQUHC1hAlJp3df4IFKeHecDy/9RfED9RebA+Zr0if1U6D/uZQr5
vI/vEhmcAxXmPdTO58jwPo2mcxf+AvoPezsThGT3jjPBYuGLgj2eD4+fbWiTigA46jv7OhN2P1Xi
fSGOzyiybg+PHKhouSYi7O1GKRQddpwJ9gFKmmIYniH5bcsB5WIES54GaV+3S9HhvuNQgLgjyA/g
8owy/LQo8D1hnGgw2luUYffTpYa5mmxAuXvKm34+UpFUCFYRti97Ghm03bMFGsLoPSA9fK69/DQT
UGx2xP84fIrPvgZJbfecwQJxkaGe0STx9HmfSNNWh0AtSkN7Ox92xxmEdy1mgxwofjEIzAcZDRnE
qfZ1Uex+xAZ3omvCAHt6NwXYJxVafEAmn4dnX8fgCf/YJXnEepIh0FWm/ONny26pOkAxjvOUXe5t
YNg9ezI4K6gmmTLhQXx41fcnbDq8ZKq2+xoYnnPb3eaDgFMAnX51wlYOiJwKp4l9TRmeH2yHQcCK
gOoMZ8aX0jXf99uZoEJGBpIGcNnTyCAk33dMHu2DZ/+lZ2bPT5HhMXxCkxZ1Xe61f7VrffeYYIE0
461kmL9CYTlb0/Qp+u///UH4N0bqB31w6gfx/SNxkK6ubfzCX/3CC1fu55+/AmofKVBvflMQCZ9u
/gTniv/+n7e8wsdv+tVPX775xzs9//3zK/588zc3e3mvl388Ch7KTXkHTfiRTvn8oGebBObh/8b8
3/3mPcz8RFX5+2l+JkH+WAa/vzpNLA/vLy62vJd/286w/Pcunmzus/LlQsf3//zHkwWL2GF2fvJJ
U9fbHpwzw87Xnm7QUOQrqV6u9erZCQe7Xz+Lm+qnr5RRJ6J8wMXTutz8Nc22StsJE+udbzF7iP86
y8qt40/evPP15/Ffs6xk8rxc69X4E+B3vv5hSafotosTzHa++CJ+SNOX67x6cDbTna99hAo6Phb1
y6X+vrwoye98+eMkfyiDTfxyqVeX/4gle5wOWwZd+YgVe/JQbhlzUZjeeVBOgtTbEghEvXfna59u
oi0xTHBfPuDSVfWwbUw+YoGeZtVf/5t6D/HDtpH5iCW62twTgF/G4dVE/IglutqUwbah+YglKq6d
Z9uiu+Aa7/y1rh5SHMqCbdFLkGo/4Prl3cP9y4X+HndRxNz94r9xV3vMfHZINlbZ1jH5iFXKpX/n
jLXrk59t8i0TXVQJdx7ws4d283PuiD7WRyzRdbkhBLw85aup8hFL9Dze3D1syR0FBrHzsJzHTbIt
uROlh50vfhmQOlbB/ZaRwdtv9+tfbe5KjgRpvWUvFYj5zi9wtUn/mjykwdYbfMSO+nSDMt2U91sD
maBYfshbzIIHb9sofcT+Kl7ikBVwF1R32+7xEctX3GOZbYpm226lfcQaFnc4bYLqr/W3oMq3vcdH
LGZxl9Wmfth2/Y9Yz1y/3vw12ZTfNttyBv0jlvXTPabx9jt8zMIWb0GL8fgy/f+OqYI4s/uS+J3c
+a672BUYxtbB/5DFHOBENGTNyyC8GpgPWcu/E6TceWBITLYJrAmocvev9F951e/89AJm2bIP6x+x
bn+rPbfrk1+T49Ob/DLIf08Z4yMW63VDJNiyxRsfsVCvGwCiZBsuJ2wzdp40n7hCs22tGh+xVr8g
evzykK8G/SPW6W80Vn4/W7bBsj+Q+5/B2peu621/9haLFr9xFz9syv/5PwAAAP//</cx:binary>
              </cx:geoCache>
            </cx:geography>
          </cx:layoutPr>
          <cx:valueColors>
            <cx:minColor>
              <a:schemeClr val="accent5">
                <a:lumMod val="20000"/>
                <a:lumOff val="80000"/>
              </a:schemeClr>
            </cx:minColor>
            <cx:maxColor>
              <a:schemeClr val="accent5">
                <a:lumMod val="75000"/>
              </a:schemeClr>
            </cx:maxColor>
          </cx:valueColors>
        </cx:series>
      </cx:plotAreaRegion>
    </cx:plotArea>
    <cx:legend pos="l" align="ctr" overlay="0">
      <cx:txPr>
        <a:bodyPr spcFirstLastPara="1" vertOverflow="ellipsis" horzOverflow="overflow" wrap="square" lIns="0" tIns="0" rIns="0" bIns="0" anchor="ctr" anchorCtr="1"/>
        <a:lstStyle/>
        <a:p>
          <a:pPr algn="ctr" rtl="0">
            <a:defRPr lang="en-US" sz="2160" b="0" i="0" u="none" strike="noStrike" kern="1200" spc="0" baseline="0">
              <a:solidFill>
                <a:sysClr val="windowText" lastClr="000000"/>
              </a:solidFill>
              <a:effectLst/>
              <a:latin typeface="Times New Roman" panose="02020603050405020304" pitchFamily="18" charset="0"/>
              <a:ea typeface="Calibri" panose="020F0502020204030204" pitchFamily="34" charset="0"/>
              <a:cs typeface="Calibri" panose="020F0502020204030204" pitchFamily="34" charset="0"/>
            </a:defRPr>
          </a:pPr>
          <a:endParaRPr lang="en-US" sz="2160" b="0" i="0" u="none" strike="noStrike" kern="1200" spc="0" baseline="0">
            <a:solidFill>
              <a:sysClr val="windowText" lastClr="000000"/>
            </a:solidFill>
            <a:effectLst/>
            <a:latin typeface="Times New Roman" panose="02020603050405020304" pitchFamily="18" charset="0"/>
            <a:ea typeface="Calibri" panose="020F0502020204030204" pitchFamily="34" charset="0"/>
            <a:cs typeface="Calibri" panose="020F0502020204030204" pitchFamily="34" charset="0"/>
          </a:endParaRPr>
        </a:p>
      </cx:txPr>
      <cx:extLst>
        <cx:ext uri="ext:featex">
          <cx:featureExtension feature="mp" drop="onModelChange">
            <cx:offset top="-0.42388233542442322" left="0.28860017657279968"/>
          </cx:featureExtension>
        </cx:ext>
      </cx:extLst>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Based on Sum of Amount</cx:v>
        </cx:txData>
      </cx:tx>
      <cx:txPr>
        <a:bodyPr spcFirstLastPara="1" vertOverflow="ellipsis" horzOverflow="overflow" wrap="square" lIns="0" tIns="0" rIns="0" bIns="0" anchor="ctr" anchorCtr="1"/>
        <a:lstStyle/>
        <a:p>
          <a:pPr algn="ctr" rtl="0">
            <a:defRPr lang="en-US" sz="2160" b="1" i="0" u="none" strike="noStrike" kern="1200" spc="0" baseline="0">
              <a:solidFill>
                <a:sysClr val="windowText" lastClr="000000"/>
              </a:solidFill>
              <a:effectLst/>
              <a:latin typeface="Times New Roman" panose="02020603050405020304" pitchFamily="18" charset="0"/>
              <a:ea typeface="Calibri" panose="020F0502020204030204" pitchFamily="34" charset="0"/>
              <a:cs typeface="Calibri" panose="020F0502020204030204" pitchFamily="34" charset="0"/>
            </a:defRPr>
          </a:pPr>
          <a:r>
            <a:rPr lang="en-US" sz="2160" b="1" i="0" u="none" strike="noStrike" kern="1200" spc="0" baseline="0">
              <a:solidFill>
                <a:sysClr val="windowText" lastClr="000000"/>
              </a:solidFill>
              <a:effectLst/>
              <a:latin typeface="Times New Roman" panose="02020603050405020304" pitchFamily="18" charset="0"/>
              <a:ea typeface="Calibri" panose="020F0502020204030204" pitchFamily="34" charset="0"/>
              <a:cs typeface="Calibri" panose="020F0502020204030204" pitchFamily="34" charset="0"/>
            </a:rPr>
            <a:t>Based on Sum of Amount</a:t>
          </a:r>
        </a:p>
      </cx:txPr>
    </cx:title>
    <cx:plotArea>
      <cx:plotAreaRegion>
        <cx:series layoutId="regionMap" uniqueId="{00000000-5EBD-4ED3-823F-5EF6B62D0222}">
          <cx:tx>
            <cx:txData>
              <cx:f>_xlchart.v5.6</cx:f>
              <cx:v>Sum of Amount</cx:v>
            </cx:txData>
          </cx:tx>
          <cx:dataId val="0"/>
          <cx:layoutPr>
            <cx:geography cultureLanguage="en-US" cultureRegion="IN" attribution="Powered by Bing">
              <cx:geoCache provider="{E9337A44-BEBE-4D9F-B70C-5C5E7DAFC167}">
                <cx:binary>7Hxpc9w4su1fcfjzoxoLQQAT0xMxIFlV2iXL+xeGWpK5gyQArr/+ZsnLSCXZLUeMIt5V3HK7uyUW
yCQPcDLzZIL/vJr+cVXdXJpXU11p+4+r6c/XmXPtP/74w15lN/Wl3avzK9PY5ovbu2rqP5ovX/Kr
mz+uzeWY6/QPgrD/x1V2adzN9Ppf/4SzpTfNUXN16fJGn/c3Zn5zY/vK2V8ce/TQq8vrOtdRbp3J
rxz+83V4WeVfGqPzy9f3j5E/X6veuZtXYdNrN79+daNd7ua3c3vz5+t7ZyGvX/2xe7EHhr2qwHbX
X8NgKvcYJtRHzJe3H/H6VdXo9NthDxO8x5gfYPif75c9uaxh5JMNujXn8vra3FgLt3X7393h9+4B
HsS//+4BXG0fxPbJpwDCn6/f6dzdXL+6cJfuxr5+ldvm9kmZOWy2d/nu4vax/HEfu3/9c+cX8KB2
fnMH3t2n+neH7iP4N+j+u4Jnen35DPjyPYF8QURAv+LLd/Ele4QTnwcwc77Oqq/w/oZFjwO8e4In
QLw75KWBXF9eN+YZMBZ7FABERPi74KI9zgmRFEm0/ews4X8/2aCfQHx//FMQvj/ihQF8dFk+D0Uj
n2KOAMbbD6zU+xRN9iRmOBA8uL+Gn2rP4+jeG/0EbO99/4UhC575crgxl/ZZVi+WAcGE85/Ai/YC
gSQ46R14f8uoxzF+eIonAP1w0EtDu6l6+xzOWO6RLZABZj+BmuwhJGggfXZ/JYdPtugnON8f/xSQ
7494cQhD9LhF2LrnwFnsISykpJT/JKgme5j6gnEM4fbdqCtsfs+un6H9yFmehPkj414Y8nH1KmoM
BGLPwuScyICRb6G2lLuOGsIxKTEAH9yu/51w7LdMexz5h6d4AuwPB70wzFeQeurnADzY4xQHjGH8
dZ3vAo7lHhcM/uAdPn+6RY/jvDP+CSDvjHhhCG/6+q+munb//UXtw5oVAfZ9AtHX/bDb38MBpgiS
66/o36fy3zHpcZAfnOEJMD8Y88KA3q/bG5NfVv99oCkBciaCQar1NTijO3hjtsdgrTMMqfb2s8Pe
v2PZ43g/OMMT8H4w5oXhfVZdXt08j2YiJN/64q/KCNpFG3RPxLdzgfyg9ruB2tPtehzrnfFPQHpn
xAvD+fDG6GdY02yP8ltx++uS3a7ZexwODnobqWNKQBe9i+9T7Xkc3Xujn4Dtve+/NGShhvIcskmw
B6CBcu2zHwt0F9oAjkHdYhfapxr0E2zvDX8KuPcGvDB0jxr76t86valungNjfw8xQqj4jvFucQqL
PeJTEL9BHX3EJf+mcY/j/dhJnoD6Y8NeGPbHl9cgiT4Dawd7IIhSRvg3mWyXtQnaQwHoJz6GhOsu
az/dosex3hn/BJh3Rrw4hE3eNs8ihfI9wA8QFuR25T7mmWXgc0Gg7nH72UX66Zb9DOudMzwJ7Z0x
Lw3vG33dXOXPopXIPbxtMeD8W3r1YFFTEMd5QKnc8dfHv2PUT7B+cIqngP1g0ItD21xB00T4X+8p
4XsUBTIQwTdhZNdtA3/7Akvw2v5jbvv45ql2/Qzte+OfBPW9ES8M55PL9jm8NMReEuJvCLC/MviD
DBo6S4SEziKx01ryVHseR/fe6Cdge+/7Lw3Zm+HyWbqGoFAZEC4o+haBPcAW1BEMVUpf7tSkT55s
0U/QvT/+KfjeH/HCED41l5BdPQNHU1A7Qf0SwU/6/jA0jjHoGwp2dc6nW/Q4wjvjn4DwzogXhvBZ
1UML6jMgLPckDThUI78Vpx50/qE9CfInk3SnOPV0ix5HeGf8ExDeGfHCEH6TQ+uQza+fZxlLgRil
3/TNh2kUxGLQWAQi2E6q/FtGPY7zw1M8AeqHg14Y2heXVwaaebV7joKz2GM8kCB9fEuKH6xpvOfL
7R8QvbefnRrV79n2OOqPnOMJsD8y6sXhrl+pG+hDfw7cA3DGZNuo/xOxG6pVPiII6tQ78djF5e9Y
9TPEH5zjSYg/GPW/APFfm3jvtrct/f/+rko9shXjd3di8D0CGy0Cib9VJHcFEqhVBZgTjkH2fEQR
g67MH5tHvmqij9n0OMJ3x967x6+3+OuH8jybLX6+EePHdpbo0l3Gtxth7uzF+PXR29uH7Ts7Q7+J
yI88sB+p6/71n68h0aUMdsrcQXZ7onsS9Ht49r25/D4v7g+7ubTuz9cehrpFQLd9+RxhDE2AIJCM
N98OwYYcLhmmkFvBzo0A3LZujMtgq46/JxG0CUsfCD6A1BomiG3620OgnWHoUOGcIo5vD32/07Om
mtNG/3gs335+pfv6rMm1s3++hvCv/fqtrbVwg5DWQ0sT5O0cM4l8MKG9unyzLWPBM/h/E/LSwRjd
nyxzGXamV6llKhe1uvNcHrkMRuCtdi/EYNOCjyF8IQRtm17vXghXbuiCwm9PUM/kuzLrvCCseTUv
GyEEMyF1uvf3rU2Wi4KUqYJ2HP9DIXj6qW0KcWDSWR5iXreq5YZNZ9lM39C5GZoomFNuD4eysPTz
MHWBOBuTbhhWBW78aPCHXAWlV52ORWVxnLdtQ+JmrPohFF6aFCq3if6Yl7OMmVgMiqy+YpU/nnC/
rU79HrVViNuymldNMtGwGnrlVbYZFc/Hhp6iAbPyaKiKU+PKUdWtnsJMnkGrwQ2z7bXu0lVi0Vs+
dBs90jXzgmZNENyF1+ax9JOVrGM21fvJPHcRLes8sgZH1dx9yUT2Zmn9E0zaLz0dLiqc1vHom+IT
LxsbybTsjz3empPOsuCgyuVxK+sqXhZilfY8+sUvrN74SYZOtOvauB6STuWVx2IyimPq5InVdowW
IoYozReydpq/m7H3sSJZFzVFxoxyLiVc9ZRkMC2SOiYC5TEU8OAUjqxwGZh3xnd0igKhszc2Hby4
59jEckLTR7/KZ3iKpHHKlr2JfM/MUcGWN13gxEEGC+fk13OMwNrcnWI+YVDjZz4sDpjW96dYN5su
TSdhTmxcX45G4YvlgitPdaHb6E2CVRalcb3msYm1Ygf+isZkk4Tl38x1Biv6jh0CAjLOOcih0ECE
kI8FuOm7U51NZuxTmzUnCUkP5iqbwjLtEtWOPlGClzLuhoSuDAlMrhKBjlNukgMMGAVlV4czn09k
gmYlyPLZTY1cWZLUK9jkuErE8pmzhKki8TKVLNOHrmq5IqabQ24LGk1jQhTOilqxbIpnKtcj1mGR
LGHni0QtTG4WitVMyBpq7Vh1zsCkkH441HpTTH7UUN+oBrXxOKZHJCkzVeocR0Obq7oubASL+GSc
JF13aVEqS9N36dhsMK2P+0kg5Yl2jUqYaFx2/qpHxcWvIb5PIvBkoY0ngMLBVouisMtth0TkQkbZ
1ok5QUNdrIEIKrh5pEMvz2LW5L7yuxTo+seuyUeYi4D8dR/NnWvuoOlNAzdDmdqTLqWfWGLCqU+b
aLF849f9cdMlSKWBaRXvupBV1inm6/loMX2mhMeOmlx8RLnt1GC9L0npr9quOyZNcI6S5Yql3ed6
zLuo0117eGv4N1/5zfKvVH/VtLPJ0+zbttQfP/7rbVPDP7cbHf/zy+2u1v/8tL5ptpsA7e6Xttf5
8S24zLfrbn3gvR8eOOXvzmjH7X7dN/uTgz/3yXd9K4OA+A54D9zx3cgGPDNsmr31cbejfnhjaOTc
9higgBAG3bpwwu/emPgQV8OKDXwkIDLzgT6+eWMftmpg6AwFHw3hGLn14d+9MdmDjFxA8RIJQWHV
4x/bhu9BBHHII5MNbynqvjsOQGOHago4d+qTXS/pFtq0Xd9PJ+AtZDyMSdaqhha8DEs+DueBx+aD
Yhp0GSNUuk+u8Yd3pW+nTlmpuw93nt5j1txfbtvgAJ6FhM4bqN3AvtJgh1BhHrelzPrhhHQan6Tl
ohPV8ybIwmlwjVTD6Pef+NB6uTK1cF3YFQZcdwKLww+hJU9fS+fQKZwj6yNSVfjdwjyB13PAkhs8
e3ha/driR1xA4AccalFEMg7duug+9fo5zwDb2Z3QiaVpFExL9W6A4IuuHJ8bpoZ5wkWU80SohQdz
ruYS0XU9mBlHZmjcdTZZi8Pca1lkYU/4oFydoUEB1ZRpnIJbPCt7eVBbmdkI+lTke5t1h2U1sinO
rRcc5yYb6vWv7+ohDNCciKBhFTbuYoglt37vTozGZy8dvbay4MgT+b5JBSbKLwlMjVb309k4GXnR
Jrj6+OvL7oaGULKDcJVT2MSEtv/amnXnsgxNqd/aVJ9oseATXGb9ibYmzEWSvf/1le47TAZhLOcS
UlruQ/e15GJnnrXan5fOgMMULfIvu7Ex1TpxYiaqbLMYdX21hBTNogkLysb67ybNdlLcXXRwlwQR
Bt1FkJIBO+xcHmKJPEt1nZ/wrmSXddGzy7La2sCW2saBaRo1I4B+PVbdSFRXNvzGVdLuj3L2j6aA
GhTSsWjKsOC6fkdNS2iUiXm+ab2hjZC31DxksvHNhtFg6f8m3tjuL9i1n29pA/aSweZuvhvDo6Bn
mrHEO8Z9Ul/mxlkIn73SaV/RedbpwZjl5V+pkO3RtHTZKmj8KQ8JHvgXx5elCecs5aHfFMNNbii/
Hlib8YNfQ+zvREUAMvUpTKIA0lloDmB862fvTKfAiByZzNHjwu/aRIrIyWxZT26icuWGvg/N1KHz
oZ5Zr7Is46HBem2JadeV35KwrLr6TVuxelK8GtMPY1E3+7N1TrWsa98FthRR0ukk7JuiyFXuaDGq
BGLgk7H17GnnLTROUywL5S2JrkMyZPWGBa56Q4r0LJ01nVTV8+7EJd1bR2qPRsFA4EHmMwFu8Ptl
UWgUxVGVMfEpQb1/kAUCHy3pNMhwRJlfw8a+Od/3hJlrNc5iifDIvGgppqvWdu6iRx7P1Fg7DjlB
1+/7CSFvuwyP5TrhHs7VkpXJX7Ax2Awq1533ua95HbWtJftlo9t93MnqOh/aANY9rcuLXCYTV0Pn
pwcmMX04w3NYQ+YoT7uxnmJ/NN0K4wkPcQWb09JwGFPRhQPJkri21ER9K0+zxEtRhHHjNuBqyBhq
VARKOF59nGqUHRIj2wtGHVv3svDIygb1cimCxsQWTcWyGkqRrrxpQpfEVuMXm7YtCxfiUK90SoZ0
NbmigcUxjvGcDr1YmSbJosrReqPhqwockIEUbqgHrgpbFF7Ik5Er3rBpUb6rEsgLPV2vTVDGqd/P
6Hyk2IfXbBhUqQJmkltRN0q7niifjoJyWarkvB87V9dqzqtZm+ssyQhZPtnRm3idKWmAypsrMteF
owZefNH3LTpxpavL6UDm3bIeZO+S/drkeasKUjUXiHt0v5gp7cMeMEjU3CE5AVy1EJFOEvCHrirH
DuL3MUWhqRxOTrMOBbzZlDMfs2ieKumOAusozKgxabAdwx584SrwsiI5HWDpBGnYiVbAhKOlrVe6
yo1UVQfOK4mnIQ9CLwE1iak5QdqHvY5JXUOm2Y/Jaqx4Vcc2gahgxXRaL6FYGDCmJqXfh3VmvAqC
zzm1Zzb36jpu0lx88fqB5yhCDXHr3Be9OGFekiYHmnLHWRHqyXbLvLHQm2eyuE0zXseJHZZuJY3V
+WqugnreIGvrNmRkrvKQT2yu1ibvci8EWMkHr60XHEE5o6wj+Iu806pAnoVHrvWHoq5lvU+NdFVc
Zi54s/SO0lXhNQQfZmNmuVY8I5lbJ2Zo9QU4Y3pQpAspV30LFsSNq9IlFnhaZCiKuR2PazHD1PZg
qZgowbg/MJSxKkoTmvYR1wPAmXML8YleCrrcVCWVQSTAgDqic511+xjl/ibNeRmEpCw7GuVNnkRL
n5RMeaNp5VmRjIUf0rwrFsj1i8U7REnlr3CbpAzMlbyN8ZwtzX6W4zGNS+lno9p+T2GZSw3TJ6Vd
OI25tyg35d5no+dm9lQO64ic4EXnS67E4Hv07VyNpD8JWjk3kZadO2a9BpeUWl7CAFlTeFpJnmH9
acGVzg66ua6mlR3Zkh9il7q3fkHYJZuSOlECw+Rd9XriNLbBkoPxPS7qqKJdaUMxJnGO8+5TNY4Q
WRRpMVyApjD+1ZqMbgY+pkksSoaI0iKB87CqKaaVNgM+WaaW+ufWMfwWOw++MQaeFaHDM5/igdRF
vjETIeO+5qklp7nH5XuNuu3kLIrOrnllM3s2zb4TIepGwCYbNRjWWCDdQ/Bg8j0VCGZ3DSxpIugz
mpp9Z2VCzgrTl+UbIrT09ye/GPtjN7lt8JnN0xkrvWACmaeGSzfNsgxqIrVbIDfl25vfmj4CP4Fd
bY1PfKbhLvqOwaPKyqZcQlkOsHTaKi3zc204LHnTQ1SQwjHgVOJ0dtphfzZa0TZDAPdopv649rLW
qhz13bSaEEc0noeObEkDFlMIdwQEMkm8jZOdrt8nsLf0QAx5LpTIWAnzYk6Dy1FTMGMyxfyGugnZ
wxTC3OKwaXVZXAjwFmurET7pZNp9gjJB0KnMz3Jy0IhU9odJ1qRDNBvejRDgznTdEnisIeLdfFVW
JTubeouaTYfmofwwBnVqN3Xi1V/mRW45JO+qLII8QNA4J3NmV21Qyw8eAv2hHtsU8nofaG42Y/Ym
b5w9lHVZsIgRQ1KgPZBl1JAR+d4U3pDGFdGwTBYvoXLf1w3ubmog5PlAYJhS8bhl7LhgHjzRaViG
GJzM2B1i05MgTCTIheBp6YAg9O6Kz0YO8q03Q5h+sEhn8LWzeraqBsV12M9HAqeaapwtoT+mQbrf
Aixj6JUyWC3NMLjjaebVRTFAGi64hcR9GthmGQMAp0TYLuu2KpvmWAeTf+Q55Ddx1ul6OEznsc1C
wWydvYVIxF4jqYFGgDrtoMrMjlbJcRAdeIG5u6jSDucfcbNQMagFIrD5XeuoJ+FkNjFxxr0yPfCS
dvwrS5E3hBW3QbmfgxB8PlkvWdam72we50sPkzQnrqBnU1kt7KQO2qpSXTug4NjHmT+FM0Q3Nh6z
FlAbhc5TZRZeA3dYW8V4opOJhooIs15EB7O/9KeUR3MyIxsmrQ26DyOb8dsiMzDXwNPJ9zDXa3um
pcZAsKSVxUrUWTCqqf9ERD8KrMpy4O8Y0d0YjSx1/rGfVGJ40yVWGnDuMKPjNqeAJiQO83SUU1c2
R9y0GT0jE6qC/QS0LLivafLS49J47RjVNgHOgGisd8dVlYD9RpbpymaizKJxQmh/7nxY93MQ8FyB
lsmPb6PS/7ZGcvz9lWG7IsldjeRf/58rKY9UN7aZwg8t7IGccrF9C5m5K8B8rYlsR32XU7a1SFBK
oFZJGWYBgdTkh5yCty0n8LoTH2PYc7XNqr4XN+QehXRFwnuqQC+BpiOQ1L7LKQJ2WfvbBoeAQyYW
cPI7cgrozzupEYN0iBAMuR1BDBSBHcFwIJq4zpPzKQukXSGv0rH1kS1VSUXSHQpUTEx1A/O8kCW6
PR7H/gLVbM1EOShrIFfLM8SOJg0Ky1AQrXrrH4BmgsJqpnZFMOjoQQMS6DR07TnxQQcMfOcd1nPK
1rZoPsoFF6HH0JXufATS7HJe502pkrGpIq8dKkVTfrqIagh1A2SXtiD15M24KCxSqvo81aGuyXlJ
vWp/qMc+qhMWQx7FNh6fJsVoYvdx2WsBobRmYd6Wb0CRvhnL7qIZ8qO2Hk1kUODtF5M3HaSyqsLF
yfYU9cFnQsgb2cFZElweQxvCGPmkj+ykqygZ5THUcFRHSaWmdDhH5fK+7tt3sugO88x+Rh5dF20N
xi4jCTXkRT6bJ9WP7HhpxTW4kzKcZ3BqggyHM2+aMKnGLvR6V6ssmFaSJFdlRq1iolkljY251x1r
0n4s8hrcDG2TMM9qEwNP/bXkEBvlBn4Q7RtI1asQFbQTZ5YKb157vZ5Vm8H1EjQOUMNqIE4wsWmh
0sKnFZIjVFzcYY/lCpvlZhEijxkfDvUEVSduuFDWzpnSvW1Dvy7q0Iix3chUNmok/oe2r457j6ZR
57fxMBHQheabhAcxIa0LSZJeQor9peegCfOS6cj5S7PCyFXHoiJniZkDxYMObdqiPc8MJE/gCxQE
S2mYVU0QGh/qbTpo9gfi3hdFc96jGqkgaEclqmK1pdOqNmFG9brHwfkEma/TrQRZCiID46po8Ooh
FgFMV2FZovIydRGfF7Thlc7jpra+atLExXkHJJ8UZ2WdQvxhg8NkFMCsnZ0ix/JLNC9p6Ibmkk/U
hHbyoBIFLmmTgMQYja4sIQfwoQhAeqQQXtpo8lNfpS694AmHOdVQsiF1feySZgp7XUqVTBD25h2k
vNT3DytvPA9w9klzmig91SJmNjiqA7IJhHDhkMrTSVsbVR5hIc/wPkqRVUGLQU8HFVQV1XTaTN6+
aZxR81he9UUPSQT9q53Hs8LvpwjqYzdAUicQi9TKjOJkGBmKCyGMSqwejuRsz2hLrwsfPLhtsw2t
5r/GQp5MRF/kuirCmi2fqs4hZT2WrgQrilWbQknUJcEn23TnJM22SWd5UyxQz5tJsl76kYek8gJl
fVspmeYXTZaOsKjzKvba8oMemw/YZLMKBv/SoOKzDvoa4IeiWNskkJA09LhvxPvCeIc4HQ6ErFGM
JhYHWXuQNJCI9U0fDlDBVYX0PrluXvMCXlhp6kqN3I4KlJuPDhJuVaZUboaWy8hCZrUZMUy8zkr/
lJSN8KIO8oLrZ3Ge//vcIvpl0f/r65keusXtqDtuEer6CN77A+I5JO93av4EXj0gGBKwG4pBcZ+A
W/6PWwRfCofAaTKBEIdR/3GLIMAGsL8ZgkFo9IS9cN8rKd90/F/V/OGdjw/dIpRJfWgUBBPglSXb
43e0OCgTppAhJf5pubR83l+CBlbSkFGXnEL0TWEde6D2bMR2aXt9djFvF3sZ+G2ktwSAkyBXIIaW
cS+dH1lWow0ayyISW/LogUXwlk564JVlSzA1BbXcAOdUt+QDLFRs2WhLS+2WoAYBYa/YklYuAxuV
PU7AnQGljVtyy7Y0lwVA4Vviwzz/MAAT5sCIwZYamynSw7LOOzeqYUueJbDoko7vG2BVWJbQzrAl
WrKlXLkl3xxYWBbmPNjScl+TQElgavARQPRb8oZcV0ckqRqQmbovFBgeuMaFtcdjN9+MWxcAUls8
bJ1CVevjaesldAqksnUcvgVx0dCxDcsWA/c1HpQahDQhHqZDuuRFTMAL9SJZ9c1wiME7YfBSFryV
pTY24L1IgQcQlNoyNAO9cRK0zzFZlESKLPRIQ8fEwkAj69PEqIwDd9b5W9FXOqqqdlNDmWJqireV
9CLn9Hlr0GHm9SEE15Cisfp8AEj72gdZfcqNXjsPi5UI2gPM6r+0zaoQiiNHaJBHIJjo0K8SHRwI
Ssw5nlCbfC5MlZLY0ibV597i5nZdY/C/KSrRx3kpwGkGQ3lFGF1NmRkhi+mvpM1W8C6lNBwFHM77
8abzsQ0LO0lVD9PGzdmJrxMRe+M0rzqXfRm9wKhCzJ8CJN+6ZTrHA/4MsvoBapZP+VDIMGCWxjz1
r3MyHYwonT9XWVeC6tuCkE11KAYQURnqNgUz55BNbrgR3hHIu2/nHG6rrfpOpak4TSabhyJbvviM
RX3mSsXKQMYumNFm4V9w0figjbj3g4PEuG59ElUg1JQpVMCZl4PuCgp2i1lkoIQUek12lZbdElb9
vKzEWLRhMadr4tlP0CyyaWDZQKSkJwVCFbSx2CV2qW6h06Xcn0Y/CYXxzubE+2gcOghaiqOCFO9Y
kqUgcxGubDIrWM0RpHWbipc8DFxzoNnWCYAI13eCQWRVfrGZO21r/3KwyVFQLYUq5+IECiCHLc0G
FTTyUINiqAilQ1hAxm6yHNyrG8Z1N0E26DJoECCyutSl+LTwJq4rto9s+omWtL1YvCBTXiZAKyfs
Hfeyi4l4CmKsj13m5/ttJveXqTtMUtEeQlT3MZiSNdSYLrwg2M+oOPWkPc9QcNP6y0ldm03ZwNxc
gnmJWqz7CAT3N8PQrEvQKNI+X5sik3E5Sa1g9QSf7WD3M1L0bxIxZKCRV6t6Gg8DZ8v4/1wb9LNt
t3/8KuP79k7eXd/2ddgd3+Zvt/sJyOyET/ndlI9sX8EhfEQpQZDiwaHvvo1DP9ttYwx0gPlQfIdD
330b7A6GF/HAC01hCzB0M4NH/A3fBgLPA98GJXpomYNX90DSJ+lONU9MaSd7kfWnBbDBgaikf2z0
dCh0Bf0ZvXkf1HXUFa7c6IZXy03W2M477+cZVP0FuABP1bnMWq1cOZ+71D9obN2susrmCi8zVIJL
7K3zaoBekzZbpeWQ7UO5AYVpm/gKBKE0C+XQ6VXNgWQu5rT9JLO5UR7s3lAcNN8ibAnkkMPkLQcM
2sWyJJzFnB/0VRlBSOltnGe+pFIvUIRGyXrGDZTDcCn3qz4d3rdSiEOSB+WxoBqqPflF29OsjUU9
o1WLRR4NxkMRH6SGXp6Fgk/IiSKBBIEIy8OSGxd3KQ6ZI27FpvZEMCCFgUKX0VAtk/ISB84o0+PG
jPYEWytDp7tPBrqBZjzGGZojYgmkhunhuLhMuaKFFBnEL6BrEY697WMNCKs08VwMF0u/QKYbfAbP
MCSrjnWZgioYFCgyizfS9G+ykl6IAul+vw0yz53nWHcbqGOFusuCTcdmqy8ChyR4uj7hg6I88dcU
j0OhoA/qS5n0434+N/0aUo4yWmp9Nhf2BAKVA11lJx0ih8J5q8aOB14dRM0C4lKnFSqWkOXt9ajJ
m9zJT/9HHkAeDPmw1H4hFzW6qS93uePrqB/cAQThc59xaOkEYWb7SocfchHdNtKA5APdBsAvW1r5
zh1i2xAPu5fg1R8+lGy2ZnznDnj55rbTj/u3TbLAK7/DHaBO3eMOCMuBo4CDQEeC/ZCC/w97Z9Yd
N65l6b/Sf4C1OIN85RCjpNA8+IVLtiWAAGcABMhf35vOunntzMq6ld390mvdt0zbilAEgzjn7P3t
Ez9YsJ/6YtENaLtc7l4geE1stxGhOQws/W3iupxDYTO3rcQBdwmoOi99rhTqUDUBmIT49FW1zQNp
TZqBNiggrrlZNdRfteMe5TxeCYdvHdgE5HSciyqe1U4E3hdDLIXNbeS5HcfjONMcTeIFruexZem1
FEvmTbgLdcXh3S5rnxGZHDq0katxChKoQpkYC/Kd9VbEusqb2tz7gXpLawJJS3R3i3C8rB+cR4fV
U17NXGZjXe9ohW6cv4LR/ALPUmc84vdy4m42jTL32ujcwqYp+drtl77HDT+EF1avIWb/8LxGw83c
6XMiq+9Das61Dy1picVdaMc5p111bUKcDdR33swUlTLxvfcJPldm4NGvcnquffc7JRxm+AA7LG6a
J0uc7zqa8UKa9CBEcr00lJUeXkPliut6Hd4hpsndXIm6NIuC9emP0b6LKqjKbMympH1ahuoitfnS
oi3KBPGvbDLuVSh6mGVthxnD2yWS7scqugh/CCArrAdtPDeH9/HM43S3aVdmZntXJXMuE37XtS7I
yM5eJXK9MjJxS1MNrzWLArjoI8/GVDyPciGQxtVrtJqziUdAs7L97JPpGnYPvWKC3qQwaIpOxaWR
GCM85R9khQNNjvTRb6ajOzCUHaLSk4n1UPox+95R8kCrZa+FsWXbt6cFrig4XOfDhsN5jbtdzNUL
/gw1DJhuOCdJ2fu1zBhXt53kzVVq28f4qvcERAlABDHup4IFsN6Jlp+th76YTPt4HuFc64nu8A8B
j4zl0EOdcMWMkuDIB2+e9jwSb+Hi7VOqaTYk0VlygprQQxXquvZOc4aWXYpdqFaoQNVcLowMWRik
SS7WCUxyIzPeYtDzYUb5tD+LKNw1qV4zkU53oTAnzhTP2bTcTCne+7A6qzVSIElrsnwDaTm9sE4B
p6Fpm6B77ci9P2CtMs2SqXXu3CEd7+Ftt83es/VOBe5OOCzOtF99Cmo/KjDvOesbcA0jOZHOPst4
+qoE2v+h7+8ITfcOE3fe0ByTpI1yIDbFYAk4IzIXdeNOkIHUjRc0IV7cUI6EOFlg+aFXNixZFRrM
jmTN4Sy1+VC3hertLoiXdxv7BZTVLwnGGjddnnChgYNy57jUzhVq254J59ht05LwcsqbInWqA2+X
nUg6mtlkyJZwPQWDevHGqWDRQgu/tbu5BSAQ1PyK1KPIlfCz1JK9SWO40S0uyLOa+H6xeqcTg7lQ
H2uY+kB44f20smB1+tpCv4Kwza7mIfWKdazTnW1jna2iO6SjewMw/Js0IW6CJV8s/GwRpkUwLNeh
5kczBQMkQHc6+8bg2kZZ5eiDltM3Pc0XbpNC8vDRrSHApct0tQoSZzBXy1DgLnQTlo12U2GF+xDp
6mOMN8lsbo8qpUkuyXzwKLG5M0aHMGhvK3edzwzgMa8jOKT1nLNQXxvSna3TdVkrmjykyVsTQKCL
k4MG7TQt7j4l+raO5xfXH45VaHfx7JJS8Abnn+2cbIj7+wCqBXTr6RK6NFsoPzQ4AId6vqni9XEE
7TX66q7yARCMGJjGCO5xuhQg63dxPJWB48FTlnMh+27FKRzs0kid3Q4TXxfOeQp3fhzcr00l/Uz5
+ktQJ01uMBEfPUJvt2F5oPTOW5OrNFnmfF2dehev5uTGIie9YdANKC9bp06PAY30PmX2NmicHTII
t36afAb+uuvaoZCxKiWm2l1dj11uHHVZ1HCrSPJka83yNorgNrdRWlpALK8iqJaCDvMnl/rMrPvc
6O7IVX/FUliZeqrv9eoXfj19RnQptfaGG2btDqDDk/D8NYtm8YwTuJRddDc5VY+JP33DmP5iR3s2
LVhECVwpD4bN/Qc3JKBv2+hCDT2HSuEYD5djNaYck1w1LuEhllI8z1CFReE5nbeDlmDyxCZl49ZH
PxIcuHy7FrZn38M50MUyQ+eRk/eeruvFm9oA6QlCC+p7OzthyK2C8ZOoWeSpEteqJjguF9sVrK9f
eu7f9q1/H4oOClEfZpbJb9DECvSVJ+IsFxnb4+rj/JqIB24p6p7s4jwPtn9E8ywyOPLF0NQexnZz
mUUMk3lNHtZuQHcNZehuUhyOQkP4IezcKourubV56wUz+43ohon4X9PBPnyxX0A/5EE9mFh+HMGB
d7FQ6VfZTo4JoIM0SC/eQ5u9Rrv5dsyBM+Tp++O9vO5P0PsRdaivor0p2KHfsVNED/ya7f/d4P5o
cLd+9K8b3Ov3qe7+3N9uP/Q/629dbLfDtQP/iDUq+Kl/9rcYl8H1bUlfXN5tYv1Hf4vFDIAlwxTt
d4xEBv7qb8zG6DD+9AEC/Yy5HWD5RmH+ES9PoEzHseOul6Blz2PQKNiYS5d1yCQU3trukjHee6Y/
RouTzzZ9bvuFZq62fdGm8SNPwuugV0fUEERYkgoENGm7tKyZGZ6aPvXQhLh31OmmozI1TQuYKs5X
EHQt0KEf9wP5cW9EP26T7YaR263TbjeRu91OvY4fzHaDJfNySaPGy+x277FVoHL0jwvuyh53Z9AD
EXW3G9adzDHGHczq5OSRoACy8m1a0dtttzrl7v2Aez9NnGd/ljgMFKStCufDPEwCHXX3uWxHB8MZ
Um2Hib8dK5FvLwBM3seG2yL6cfTgDAJRueK8qGSe4oyiLg6roWfeDhWOwMZxcLoZ2zs5w3nnaXIJ
cP5pnIOrJrnrAWadtyPSgxcKmu2FbWdnSHpYfMEd0lylitpnUYMwnXDeqsns5u0A9ipTtkP/iS8t
w1hf36d62Gb19mqg7dFrl2eBs9zp5093ihZgxgu8KECK2VqjgXMAAGdBIw6jdIY8YAAI0UUWle/q
HHxvcvGXYcnXBX3ErEyTsd7kKp04ol8ufD53cQB9AYXqoG/myOR8YwsFHegte1VhTJDWg5bpH5HT
OWg9Xapm6sBo18s1G6dxgKUJo2uvoqaGpNqA9FNwFWUESEu0EMV9P2fdvAvd6qsIIFE21sk2E493
9p3GMMjxmNssABXDmsywOc5Y4Ly7E+VQxVWQeSLIPZl+LNuwAHkUHqgr9c7XLL5qTAC7tZsemKzC
G1+1/dnz6UyRSuIFgjkHNts1l3ETls1MiqRtvX3n1GrX4PN/o+tkT5zw6IzyGUzBwdX+s5kV2jQm
3UJJ37sJBp9fDV0/ZDSNvZJF7ZphsnJgbG54YOhsuo3n3gw28O9qvyeHWsz7NBwOi6GnVsCEsKP/
ji8HiQrRLfUFM67JU3TGS9LutEIuzwO9mkem+7rIfufP9WtP4aaiuJWU4XryZkE6MYyB0/yrtMFW
RP5Jw/+YgXHaRADhETFNkw3O+NkbGgI7i8ZJvUvTIlryHbq4aY8/nZv/aUj9dej0tzE7xfo3pEpw
EmIa/vUploFayesY9pP8qsXtMjx26dW/a9SPGrWtefjrGvXbt3z9uUhtP/V7kcJGTQIgJsJORuxA
3y7w7yKM9x9oK8IY3c8f9FtwOaBaAhffPbX5j1uK+R81CrvBPBKFSG9gg1BMsNLvb9QoVL5fPn8I
HSH/kbqInkDtQT3alhz8/Pnrh2gV0VLJi9sEjzgcH3wJNSKUd8IOPDNzyE7UBUbvhQe+LLxohah2
1Rzj+LK6ytxxAD+ygJQBWHvvhuuaswHtICQJuPSrd6fcEfGZFI/VkZ6VDR+8Y0onf2NIHibS8Wzt
+iTzenvtjG6ftR18HLPOTu7YqCqAR3McG3A9JmXGG7drH1EDomsyr90V9+HE97EPc6mStPQbsg8l
tNdkxukaM0azdeoeWZegdXSQAnYneRyHCMFORUuJRhuAZfuBjMYz+HZn81gOfeA8OKtA4Rrl9bqh
rGtEvyK/Bv0h0ks+9aZEweXelUeD7zO+2jLAOU4PfV/RwswaeZVVc7wjokE9tqLwVzmUw8LfzYoD
zKrpu1bm5CkQJ6mLFzTN1RFzxe2CdHG2dKWzXmnlnWyYfIl4fOxdHmK6i9wiJdHVRKfbugVCBA0C
STXrXRAKbjAc6NIDUJSrgMhMUSqPZAL/BGr93qcmvEsd9g3cxZ3sEkCrTQDb0UM59cfezzAJehii
J10OVa/KRqAoVcJ42eQmV37NjotG0hP6XMGT7t4KyTN31V45BhhAEgklP06Rf0DNGks6qvmBKjfI
Ky99oU7Ps74e9qPLT1KQxzBd3z2Hdvt2EZlyVclnlha9z0Q2gHvPBhzZxp19WG3jCV/bJnH9xn0a
tDwXlde5t0OougeQZHjiSWaD6C9rOH0DwNUf/dm5xQf8Pe3rHnWddicmvFeMlNcTuP3CSUIE0Uzw
YY3+mMmy7KSyA5CNpDoApf/a4hbNIL1hHoTcv6sBpkU+hUqYuKeZ87dhTc/r6EHI7tm+N87VuCwY
wtzE3SmKrHMvKpNNUt4ovuL2mR8Zrb6OjEA8DBBe4E77UK0BAxitX8aAHMWo6CGJMEQsfZP1S4xu
UHbHmEZPE3PZaVZdDGt9fcBjmisgczNY5r6HhRlP+Q9ufZ4QQPDS7eLZYMnduIoLrwpfZM+nfF61
zqTsupP0tc2tQ0jGlnrMGokudLWyf6VuRQ8dY9MtRxOdmWAsbLdAtdPtM7LQHLQRAyrMvUz6fY0L
NHRl1UCYlbWocbcr/yjrnmU9j1kx+frorol7HBN2JF7V7GP8LtkYBzBRt7s0Ae4quVqzfkRMXkER
c+KC96sC4QNBamggm65RqHJg7RZqDCPI3CMAHXoIJuA/nDC65TTNoAQ8eZafo0mf+gDR7XB6mAnW
BKyy3TOnElnXwr3vhHczW/1Uo4HNmoXdtqG+E6AUEmGvZbu+olWBkIhYZdb2/BnRo1No3cMi5aNK
YjcbdQfwqu8DCE72SsixJO7U79olkZk/2etqQifZLU1pjVcSfzj5WnfZIjWc7epLTb0L8l03iKPd
jpyAypvl16qKAOyJ9bVhMkByGiIi2PsvsiVgchcwV8ofHnsWQm8Z+nJu8KlB/nARz4Hm0aEO4y7Y
Ay7xS9YjORPVffHvEv6jhHsoeX9dwoGc/Ph6mz8X8e3nfi/iAcLKsbsxQXGKuRAt1O9FHDlmlGkQ
uXB8gfjALvnPSTMErYvaDsQI3y6JMvuTC4uvvsEGKcQHt0fFGk8Eo/9GFf+1h4Tnk2DUTdE8wjpG
j7GNyD/XcKUXMyLDZW61e0LHjixDL38TIf5SDAm3FubXRhVIL4Fhg+rqI2kX/SFQ6DlTADFTDreB
STlgwTCSQmBM8Lvglrk4aIuxj624W/s6Tm62SOHrRIkv7hI3WnLmttY/+fEA2LE/jgzEetWUcVCX
a+0tmV4D8KvNbYUEX9NDt5XpwRn7B+UO0AyZV64jube1PMD7BNEKbRbborwiCscTyPaLk4ivzSLe
napCzm44cngtC46ufK3ZhSpZJn5zJAx5BM9On5MmSCDUpmjGkIBkQvbEab0mQyLiMM4AgTThTzi5
x0DmeHmvNHaPSCLwLPCG02i7jwZ5ZACXYTYs7Uc1oGtJ2gGdiGsTVJRpByv6qlLEFEk3BYAjoWoN
xP1qZXfCtNIWXtg9zh49IZH4NFlQjn6tXkS7yJwt5puMw9MSTh3UwOG6Y9YU6YhhO6qrKK/66QGy
yYTGBbWaLsF1S7spVzK4awyYn3XWrw4Pdit8LszWpMVaC/WJI6jJE0xG2JrQ33Z9eCZmCsshHOus
ESM/xAgfZwhP0Nxy3WFti4/peU4ETPf1xUPyM8DlzHrt3EfGgRjsN4+mTYcsTcSbM05h5pvhiKgN
v2mU8XLmiJN0wH263hhuaPUVVd8C3u9SHed1C4IZ1hVm+6Z7qdY5zKsxweRJvdOUYHOJmsl+JdG3
od5m0WU6axJ+S5AJKRJefyYtgekVIu45qvSRjvFnWBukmeqPeowMhlR+YD6aFc8meU/b29mXXz3O
kRMEKJ4FojtiRm6LEH5gnSBKqAM+56FUpgwdN82jTt/q1HmaqZa50yhgNGwqvZA9UKuwqIVQnXdV
UDYhAOmZknLtcf3ShD/4AHyAJ2zq9fwi3BXD4hJ/cp5+iTzo8cz4ASq1qGD6M3Hdtc0EJ6KGVhC5
TxRxli6MBvQswYU2hEBJRZTNg6Ux8wafHjPqMjF4PwhZ30RcPUJn50Dku4/QM/FuntwnQZsnWXd+
ZmHmFDNV1y1xPpWTvDnJEsL5YDm+cU2iylcIhpQEFKJfqmARx8HHp39bdjNWGOShqa+pNz5GFFh8
FQt8ykGXPwmE1o/RavltHJjHcfQPzjp8tOhZajE0WdMP3xG1GhU29dBSq6TeCQOGcKr5Sxiqoomr
BhrAM/Qru1/Ywq9atMO149xPmqcI8PJmrIuqBZA3m+QM2r4vEIbtc9lEUbbi80uDYW/B7wIxbAGS
O3uHyHzAvZmByLiRPXllSfRRu4gOYP4es3D1dm0z5DNbzoBo3h2rz0bVpzbSb1SHfDtz7qfOKzGR
3PdecDSec78spIgd+uwLMMhJVPSee04N3TrLW4QWr1epdqsG+54u3/WMpCcjvBASOgFyXbnAqEPk
hJ4miXbTMN8QAF3TCFcwWFf4QZHJ+hRdJ08cWDkOHITpua1TUVa+/JBot/zRvjjyI9L4JM4x2QUh
J21egSCDxVMZoHRcL45TuvNCngmd7X4cJz/n1Pp5lAxquBFB8Nr2ofOA6HlJ5g4B2Ybj3MpEHw5L
BuY62Kuln/KkQcYnCSCEjXKH2erVmOYZbM6b26K3wdao9RYFb9xNzfg++t6RTcF3WyUXxFRv0ial
RdcmNZQ/ZE5hsCe5w5t6165t+hgiGXpNW/ZQU/qV+5OTG6Gb87QuBPypwmzQuUsOy/qt83EVDXus
654XaeCc9CxfNRJdD4kTtLvKkVuTP8psrlF7EBPEGaCdJi6kHtaLoxLnMebBUixLako6odfDXS5f
qlTqIlSkPeBuToqxUUUYz/Nh9pTZV/6EhDSU1r3pXJbPDSBXqkSNm72ODqZJvYMUMyKN6l6GLB9j
b8+x1irrnQqDBsSzNfYeh6h/nTz7QKMpPqahfu1T02chXat/sWQJzcMfiy5ADHR1Mb4Kj0SbjP1z
ZY8bPfiJP+rbPjFl7F148hjjt442hCB8+anv+Z/IRNumFehQiA+BDMMC+V+fS8reKoAR5japygpW
+7JjzvP/3VP8wVEBw9w0RjfmFuBHjok3Y/OXcHj4P3gS6O2IfMbosbau6+f3TDIhLO+MuQ0m2ItX
1kEf/i8UtT9fFrxVPz3FH0QThQwB9UJrbsPkoR13awuy2lw68s6Xf/FMv+7qQO+4XZSfnmn7TX5C
ZBo2RyAs8GLGBSGlLgaJcdItwIlybk8rhND//r3bfvFf1Eg8HVaDABAEVAgsfvt1fno6RbldJ+WZ
22Z89RR2P8SPlJ2X9vXH0/y/DgL+f5hlwGDw17MGsvbq48+DxibI/j5oQBIEmokVOW6AQFiMC/T7
oOHjryDSAZkiGER8XJt/DBruf2ACSeE1/SYJbpsN/yEXYt08XC7MBVEUEPhg4d8ZNALsV/r5A7LJ
hVAjY6xfwjeEhSEWuPz6AZkHK7H0gAUXaUM3X+18NEsIN4sHaHTjcYdgkoZUt7wQ0POFpOG3KUiu
FObYItpyzdyCKFQTOyvTu1nndog+uFOWrIMurJxv7IREQpjijO57/XVJuzeGfgJh+3sR8n23qJMf
+PfjAD2Rj4vO0gEL+CbPv+parA2gDnmSIu3zJm0VEsfV09rzlwjrFKDtrDaPbXuJaHBBz1SmY38i
zXgUKInHdcamMS38BO2C3WP1UuknwyeQ03ttaHTqaLXHTrCvSb1kqVyfLSDVTPgw2gKsLkAGse1A
bVS5axEfIgN7Np7+IixaWybYwdd9lw2STFnLAhBL0HaQHAxuRDueGhEGmZmmz3Fm8N+cHupMk1zq
doIKSscLj+bhZFuFmHANhZG0MGsEm5CtcGl1I+PeLSBvodkcw/UT4T9xM4fk21rjzR2qlt35CCFn
TE4fDPb7Ne+bY5Q6EBz8YdmzTiYXCUujJMTgqmkGpgMZs1yA88Zigo6hw/TifT1jOognZLhDS+id
SwNvvw6cZiNyVxBsQQdh5QiyBm1AS3dp+CEILAJZde3vOduWCYFkC2KL6DokFSTgKw/tOeCRJpQ1
TKmh2oUmaMqpVdiL2Adt2QX8CmjqeVX8IjrvqBa6FnWbfFYrjzP0RGHpyBoGpF546VVk2QtNm9Ll
DANY6C1gYcd0r3hMM24nQB0+qIuWTtgOhNUL950hyV4PESuxOZIfXBdj4zw3QSaDwLlr8O0MWbvi
lY42Rhcfu/EuoY7CXG2SbOnpUDpY6AAMTdSnCPLcnvrscfHlrdZuVzK021mvBqgOaF9qFmOJyJiG
pyGF7ENhNGXLur1Ftd99MTLiTx22V2SSpd1h0dj45VvaZ8iBeJcogYLNhhUZGrzvWTCB/kkM2jZm
QgjuRNffscKSgK8lFWaR1jm4iu901JRV1UHRQ449a1MMi4hMYRAMOZZpcpMU09A2eTzz+G717B23
+j42rSglkjB13vjNDfbfqANWJHyqbv2qvJnt1ABUo0mb6bpG3D0PbFw00xgf48Ug9uCQeZ9UXXjv
O/q5TnvlFK7SyCIw3yJKV+vhm8FvRVYHUVzGm0wmbNw79fLoOQZECaNx7s7pqUM6CKsQFw+ckgaB
LQHvYGMS0jm0rLvOOTkhMktB8DRDSszBfj+2Iz8R3t0inJc7DrmW0ZeK+Gfdx/MrJPgPE6srGzqw
CicsIkuMNlcau04OaaoAhk5wS6lwr3w8GxvYeZ7DzxGrQXJvba5d43rZnJLnFaBRVvM12VjD75Jg
3RO2wRx7vtzB9r9C7AqriNgcbB0xshS1hxFwZlFhl96ic4XyOuGfd9IfciKDaIcZA3D72F60Qx8a
W31xe/02hDgeEneYEWudzrXx3q2IY5gUmMln2dOdpz3w50E2ihCDJwftRFavhZ47XyMI9aJjWATw
UW9BqCVZ35LumEQR/qXCnKgFAs+D6s+auwdsEejyGbtQuduPF3icC9KesJgdmxbK4uu+MfOBP8Iw
xvz4Dch3G5V9Z5EWVt/6kBw7Hb1ieUB0rFukJKf1K1YeYbFPbw940c2OwfHGoogVEx+5YRynTNo7
0ExNLlKnBxDkQdiJ4cyOyNvUWA9Vmzss1L1qfInJoG6+qiQ9kC648eiwd8JxT7HQB9c0t42H/4/e
WVLXuaz1p6wJ2hSjyrlfjmrLWOktPxeKOyxhcVALdN4Ey5mp5q5FPMur2WODuBaLuwPZ8lsaQa6m
Vrn2EX/qKkmyFmGvCkum4AXD3rZY8udDAHI/qi3zjDqG+DPoWpnAgwEOR+Pu3t1y0v/ujX7osOF/
m/N8qD+m/2q38/ZTvzdHP1RTfOkGeHYQfFtz8ntzhL4JNioJAi/Czq2fdzvji+KxohCEOZYOBNjy
jgf8Z3OEB/ETTFaw/H8A8n9DhcX3o/6xOQoJuiI8FuzZbQX15rX+1D3D32kZvBL3EmBzLw6JlWNm
+9LT724Kc6PCvo24u6oTuBW1Sf0rM+DPJ59cYq+76HHYxQm9b7T+IuWagwixeynYazdF+3Eg90GX
gAGFwCLJm4fIRdZYVa5EnFUEo4xKcJM+1U+D7R6R8BgznbpNPo6eQs0b3ipeF3HknyMUTADJ7yvD
OMHXVz90xry16sQAjqaWE3DE9UFqqKy8W1+BiB4Mw3QcCnVrCXvjbfe0Jv0VFhO8IiTQZiLyPx3T
vYyTfhYeOqJQQ/tInd1K1ltoG0hOYk8aNpzo3IAvSWr4wkEFaRGbx45Y+ZgJZ0ky2oV7Mjq7Sc4o
sW3yjM1/ForkQo6QW2AnV+GZuw02EhrnEBsYkthQUB007khs1zv6OHPNEN+bQd8DV5+emmh5bwZI
ufGYnChzX7BlAusnemDDrr2mArvQDCVOGfHuoGaHY8usPoehPMYw2TJA66fF+w777Aut9NOSQLhZ
QmznXRPzRbhy2xQWXDck/AjIAL0s8p7iFWt4jQsi1cHRipWAkK3NHCP2uRy4XPYJ5vcBGyK0xHtG
aYOUP1BYHDwCWcDpBsuUPFZWCJsD4qkje1Y9Ws01HFx17JOEloqAicUqJA4funcnUvp1CPxbykCl
7808GtClka+w+cu1bWYDdOV56/dYOdAAh6cM23KHML1u9TiWbh9869g0QolEwhKKNMt8H7BSYNzC
rPJbXOkQYsv4ueFr2IDGi6XDpEk85LFoJO7JOixnEpAbh6Fhhm2Fx3BjKCTstbHhW5dY0NB2RlYK
mmOK1dtFOEbf+SA//cV+rGpaMsRin2kMoCYIgmt3tksmpH+egAWV3KigDKP51vpI/AapOIRsekNK
GLvnnLApoyp5g/kIUTSMeRYT8x1nssm6xsA3bBUwuBo7sVye0uuGOjf0rZmLjgKmsvx7aGURtfi8
dBRpjfUcd92e98PdHHBWMmGfhm1bQdzTfcMqaOzIDVA3fqnQMO0j/EnimRe6jnfwLvIldCRiCm/Y
BSlh4Dk9REuy1gUeCrkVIgpkNx2slmjAhjGZN5MF+GtwxTkb7zXayKNgINbi7mZF1NZ2w2cMMzNv
Qoi5u3ER07d/15UfdcXFDPrXM3fx0fyvm376L+du/ODvpQV5KJh3brzJLVvS8qfSEmKExlYbdMlp
ijglqs4/5m5M5K4LkQboFqBRP/hnaYH3h0MeRBdG+GALX/2tqNQmWf1TltkMPi/CgB9iJXIahL95
cz8VFlVpLpu18+Hd2IMr6itCRR7My2+tx1+afJAOf3miH3JTuoFFXgCuGUGvbfz/6YmwnVJg6hDm
FsSaOCosQwvLaNWntsa2qN6nApv5CHop1V/SRV+NYngi/oTdbaApcoMdj6WYPHGepwgxhh5hkGBR
deZEcPEqM70aOQx5mzDkC7dxmcnmYcAT5v7Q3PZuDVqddFClR38sEuw0ywNMehjFkvMIxhuuI9AH
rA8r0ijGiCm6HWJdO8C3qtCwLAqJwNhAwhcnIdcQZdMML/OVhagas40esC313mntjeNEN6p2Z6wX
RfuJ3cZHbDu7MVWLZfWp94QsdZO5dJ4Lf0tq61ndYWnaDquXX9Jk+vAp+ULb5W1asTdHaII1AEt9
G03VOcZCsB0h0SFOq2kvGZjXYJqe+pge6iSkeYO7HfLM1w71FMkSdyj+N3tnthy3kXXdV/leAB0Y
EtNtFWomi/N4gyApCvM8JICn/1dKLVtW27/D947otrtDooZiVeLk2Xuv7Ywz961qqgON5M0qF1W5
Nfrl1SgKggoivRIegZg5B4eIW7dxstfBNR7aLrqspmJYVcZ86zbDzvbNPRQ2jcUCJEsprISFNtDK
2LTvtJlChaJvvLXrv/p9sdGpDxgaMlzdILIVb4gAbJTL9y/dZe7w1ZsJ3uqOfamNAzn0kr0Gqu7a
AJJvSgIOM/gIGRuIO0Z+Db0u3VqW3C2FuIwioi+9IXb+yGsbS56WmmOPQd34ryWrAzZAtyQ45sBa
usfEwUkTQTJbWX1+18nhQK/DGLSW/qHTubGK5PyYJ4m9m6zlypywwnRxOgJda78YufnFlDmUhsnY
Y1k94JUzQDbIHQugm4LI2+RWzoVrLSVRt/JjSevn2O1IaDjVPbCElIeRm+3lYO3YeuDgDVWQBKYa
bzHsOUKSgyPj9lamVdRuF08jmWM7E/UG+pQlIzD/FoqfkE0Z6K7cGp5Ul7l2OuY5zwFzNtZ6aBxa
YX2Run9IbGM7LlXLoymrx8fMttSVkxgcEY9EMRAmIwmy1DxYtdgbbG96nW2X17yB/Lg1Mu0TdQA3
NjH+incjS4bxfoq6Hi+QDCqZGQetsFmXyPHCayFoKMHETjLud92YqAizfHFSt9tMUX0ZJXq47uoJ
zIiCGHYXdZoFY9/tpeyfYfSmCJfpekx1WI/VZebwkbXK7BpTHDQh7bDkbIfiKI43yzSzxxuTL46E
vJvK1FpNg3ELVRR9rv/MgIEwTnHldupn2W4w7B1i0YKX1Paz475Nqf662NSf0EbSreb8NRd3o+xY
fgzHuopWucYjEk3b3OpqtyX6VQxLWFpiP6KgtkbMommpx53lpv1WN1i/RaN4LYUB4rOSQai1RPRk
Db+pvJor+dJWZDCTWTz2vc4ErUGxvYe9vI48wQRZfdM+f3rA/ImQ8ounUp2iPC6EQ7yA5L1u/OrH
6JjKRDg787WkKGIlduFxuqsumdBW2lv5RMjrwFV3FZ4wFg9BurP+RjNQO9jfnxb//e2V4ZeCQtPm
4v/HQ7wNiXZqzrBcj+5bHR58vSe39qpVf9cy82e/j6mjsximovjrv2gTfs8zKwEmeW0kF4DcV3n+
6UcHOXR/I0r88en3/e/D68kz0KAXAKn1j3+fBhSYjbtfv3bsU+tc1RZq+t+JX0K9KL++aD//ZX75
TYZY1zszUy/atnvEBbgZ9/oXL1A2y8uC99jqFsjZqtia+4ezF+Sr83iZbB+7Tbi5SY9ytYf7dtEH
/MSg2vLfzePfvKf+V3IyuaHqrP6xH/l0KfzxRcgBYhNm041rttzn8AZs1aXxFB0xsmtr8lqr44ux
m9bnZiv3tr0uTrBwblj/beUqX/87SH4fJLE0/fUgSd3FG2WTb92fCDh84W+DJDsKVSIGXsPS+cfP
OwpaQfnOMVspCiNnw2+DpEX5oKodpNqbORN9hR/6saMgk6S0FhWRVzUZTLv/YEdBwv8P73MEHA+o
Fa0uDoAQk4KXXya8MvLYdI9edaXrebQHCrWLI5hJrSXx2YwzUAmzu5gGs9pZOl4Bfxquy1Swwy+L
95Z6ITh13R5Hpb3xrXZeR9KxkKLjZo16sOBzlSbBH/wNbuMsAYih4rqJ/KfYXjCltpa1nvTlBNf4
orXF3qt8NAEt3jVz/RR6UbVeGu9yaWdgFlU27oe8P0ZFyqAl7OPiJdychXvpmOIhsmtyqIl340tu
WmWb4DNv39A1YRHZ0eNY2PVKwi4kT4NdKBuXS6d0n6YQ/rKBQ8LPqydnGk9+ZlxIl7CqDUoPnNQa
1O5D2dIxoxkg00N5chdxW5bp1oi0FzOZ1hEVU1ja3XXX1he1Wz2bnnNm70OuyZ52zJklVz7x1ucY
RcspZwhygQE6S4yZJ88Dq53UjbqZN55XwjgYxxlqfnHVyonQVmTtq9hMVniUzzJnTRQt0thhRdim
ToP1eky5tdIwpJnLtRU6H2Zf32fDvJUem2ArKq8n4WznuDgk4JdXodtdO4P7EDdhhNdrfnYShrtE
2nWAzJitARZWWyuZOyhjLprcctNOpbs14vw4GflnrCZcrzcfnLg1wA2b4Rqa0VU6uuY5D9395EV3
zVnEBwe/O6j+kzPj0YD1sE3cETNEA1q3ZwPWW/24awfvOXaQY4YGh1JeJTujIFWcFdUHma4qSPs5
XZmNQSaI8LSagfp5n2DhW9GD9N621ieuxE8kw2gfNeLMuHsAAcqOhWaiTcqO49GyM/jqs8dePEzW
Vdlg9HEOuW1A8o63rRdhlgbyvpknvDJm5LCSGerKJX869Bs5ajdJLb/4SyZb3BVgY3Sc50sjOigy
zZElmbnmMbT3HeV4NikyK9k4BkJ4e1MZ2pnw3sCP3yc6/qWOMVshanjr8j7ynyprtNaxssajTTWb
xI+mDcM2CBwQu2gNmOnhj2EvtPNbf6RGxQwtYucxiXXnIhw7g/Q1pvw84nrlujlOMCxLW0uZ9x0+
6VtNGfp1OMan2Sxv6Kr6sJTpv8f976kYwARU/lB3/F1inARrbcHDLXCdRyQTq4pPSqoiBbiorkMy
BnHB3FWr2IFD/iAvndeePEJX3SSCpWNLVIHofniYnOo8ARldEWc7+mb1BSIjfnqCDoUo6o2bdWxA
Ji0LapWHkLZKgTR2FMSLtsOuni6vpgpQtBdpeqDgbZNUtGo1IW+DsQjfZpW8MOfmMlRZjJJQxsSA
XBpsVGbiGlqUfWYDHxmzrHhvE+no/OZQqIyHzz0PGHN+TznFV18FQaKJ952lsiFVGW0ExijuU0u/
GqOmvNDMyb40SJVogFDP00icnDqGdOP6SxhMKoYyhGG1jlpMnrEcL8c2g2CqYiu5n9zFLe9mW0QM
/DkbJBHyHQcBT5HKvNwAnHSAGBGC7IpxWdfkYyy2pKxj+WDFCxVlmorRQNIJt+PcEwVserGP+X6p
0E1GYwIMiuamENYpJ5ejh/p9qGzfpO+OoTKCYyqbklVXtW16VU9G+5z54Mk2Tlc66bob0tMwjKB3
ejKMJomGkLtcmnQvnh/F4t/813f6shpq/3om2OT/F1Tt25fqT2YCvvDHTEC9KLwtUlaW4DaNQfun
5ZLxHzpCdJrC4bx/D3r9d7lk+f9hrwSHh+eZWi2pJ/mPmUCNCyZgYYLpasb4ZzMBUbT/mQn4dbit
6IJQDcSwX2bLJgonWzNGMmCiepQqBDKSBtFYh63ctGuvqXAhKsIF+tkWUHiJCjer3sW+5RWYKjpt
LI9LhBmDxqqW66944sPvBi1IwXVNOHu7CPwLhSpbYFGCW1kM1aYJfejBKtySknKhpIJd8OTFkPjc
Bx9XKTdNuCsL6SaXlAyXhGjfkpvpk+kplFDxxrS+ayuFegXdsDf06AMcxP1k6SfE+XOls4QF2WiQ
+UqN7WzjgKxJ7eQy2c0qxlOR5+G58RL25rF36o4SDFDUY5RvsRTjCpb4SnEsvDttBiNMRYVaCje2
fjV9OpXzSTNZGqDZw28mYeRP1nNpVuURenEFNMt7M8f4hogvnOG0/vDL4iqzkXet0V2DS6mqxwlS
4YbryC4zwmpn184bEuw2qpAqQ864xS4+ndzYTOSajSqvd+zov7itvJVOFu11nw6DYrRpvJD4StNE
czaDNl25sbRWSWQ+JqF3OVp0EyJ5gY4wvIrMucQ4UWa7fJQHy+lfqXiAcW/13W7wuqtlERJ9ZH6E
giy966mDQFb304LAzDXZvyAE+3UZYggkPJM3XYpAUE3I2GLJp12RMJk1Seof6maOb6zMfEBsJTJE
ccvehEOyRJn1sujuqsbG6g/3g5NHZ3CZ9XHBbQqwX8v2WCo3kgi5wROJxYPHE5bRZJXpyaMaWfAN
DN7K0jgmQXgTFXNq8uIVfUSaVl1HaQgJAtyQ6dD+qRHWkylBu4Flae4cxVDyEs9FEKbTU20nX1xC
3aEGmaU0GlSbFki2qw1vouh4MAnrRTPzV1Zu9gr5azf7oiKsmO5NnYHHpQx0GpatZlolUT9vO5dZ
gGxG2C+7cEIXrg/1bJRR3RVL+RXFytvQw+OsHBv4SJ3RW4La9GE42jMKJ7PadJvH/cU8avfMwa89
V2gWhz75I+3UTO1Zt8KHqUxPs4RA3ITmY1SA24zb8J4yolOf8grVZkS1Zs0uK/P8c2mKl9CVD1xA
llUegVmeNNZslM+8d8K/lW16jup2a4YqJumOV9IQt9bM36UIk5u2Mw6wCNfCQzQjoDg48lRr9ns0
949qhRmVNvYiW6Gp9lZbrGqdRFnWzc/24Hm7NNKQAxM0c3bsZLUbDXuW8kCEFOqsx6R9brviaPnj
ZWaZh1hfHocSv85IY8W6seShbm1Vk6WcS1p+i73nnd4lvABZ3mK69XaIX/juk97bQMnuNhQrFVuc
7PtFMDKndZFSe1Kvp44Im4l/SZ24nFJGBVNnvK4GtpJm0+vbYZxvIp3wngGvVOcl4Ey6sWbnMh38
D9sBIlu7zoPpAF8QTbq2Buwo41zHBBQ44tp4wVuv35l+uc3dmKG17grgUtXRN+x8XzDp0b3L5F70
ztrh/TYs0Z2hi3e3wHIQmd4lGYFwF0WatmWnfwtGocVHBZZoNt13kzacjVHm3ko4NYWi9NYUiSkw
jIMqwvLQ9kt4lzZLuk5a475MRgj5EHo/6liDiz+OG9B7tzJJnojwXwF42he293VhLbbpuczgJdLx
djUQBpLO1vwVu/TiqcA0F10uZjQD9hmrDWGnk+21977KpLUqnUZn2Wu1JD6XiNEC1Lg8hyPpNHfs
3p0e+XgZ2muR5OeY2JtF/G0iBmeoPJxVtsd8MTdZhG439PYN8bdL0hWQxlWaLiVW5xGv04kW4T4j
cQd7XGe7N9xbhPGSUD/SffOYqpRehsLPn2Z59lWAr5kfC1ve1DK95v3Ai0DUryDyt9iMT71ypY06
BHeXK9Tk93clQUHD6Y50aJ2EPj2UJrx0YV87BAtrX5Qrj/8xqcyhmzusalUO0XcSE9cP2cRSJ7/I
GRvIpN6XxBdblWN0CTQi4AIWVxlHW6UdiTySe6zTw6KSkFpG3823bKRKSeJcNA/4jZLAVxnKSqUp
M51GWtiKxioCpoVhMv2+OPvXZqvyd389lR1ocfrfgUx9zW8Dmf0fRzCRMezQuKgrxOEPIwn94ciA
DFxYXL/7ZX+ofRbkVAdgKvlyVGmfcu3fBzIbyjjBuP9G/NVq5x8sadgG/TKQsTrGPcKfgesylhVL
LQN/kuGsOK/B07v9uciceFtVeQKaqSD0dIMCsIwEZ/w4XJyNiEc95o00ZnJjG70JEsYy51KuxZxY
+anxkma+4oFuQ0P1AO61PNImp8GgZdP2s0NtK6C+CLqj4QRrYTqaAb1nVfm6tM4grt1h8NuS4s16
JJZq27Kb1obWpN2bu7AvoFSLJ16nr6epHf2OxFgMwa6rfaAkenyI8PKuGinFQ1OB5/b4VDZDhUtX
ZHROGY0cT4Sf563pJeXZzbPhFjSzfNcR1Gvmpjh6H0U7bfNOLy7IZFdkrqrwnGpwO3iGxnt2byxm
PWnNN4ZrkqIfKnkJfE2eDY6MoA3rr5X0OpW5Nts3XGOI8L2ggygObZ4/dtrfm5IGaF5B+8Nbcn83
xrkkqoZWyXG3yzVh3XqLTsjXoospH3Qamz0DX5gNYoshSgeix3i5zVBnt6I2agLhHXMVOUHw7svY
72kr5kNtKPab78fmq7XUy3W8LHC5MnMw3+mStU9D00WHOUu7Z8vuLK53JjpvTcJm8YrhahiyD17S
8tDAPrkzugRXT4oofSlk4q9smArnGQp5EM12craTrtv52DRBSfreeWmItBRNSXRm/tZqEc0fwpny
C87Z7nEoqoF7c1oywSfmJc6qfFk5MXTB2QeyY0yNc0NyDeJZY3fXVmLVQT/o1QkxYDzBEzuGc7Eg
VmnetqGM5KsUcb736iI6TnRD82dLXe0yCR0d9bhDhK1mWpX6fnDIznvlro5wNAoG2BXNIEQNFtMP
j3mrOY88IZ4Y4M0Lk4LrK/744VbLkBi7yhTbvm31q3mJEdxAfh+ipOSpx1hILqyeb2PaRFjAqNas
ZJg20biE245bRhT8uwP/vgMnOvDXJ+su/yz/hMmlYkk/jlbTAB/LR+87XJpJ7/ejlS4Gn6Qd/8HN
gFWP8/P3uy4XUGjqPy67Px2ttBd5Jkwu/oH884+PVn6ln3Qe9t/487g0q6OVE/zbEv7no5UaM9ec
Bs+/Mgt8SKltLPWu/cbXt7QyNjd2TE3WK8Nje2N9o/EXCsy/QOh3Uv+iLf1sTQ/Pe8bENzfMGWYf
bWcheMTXVj6pLoLlUE5WsxlG/ybz5FdVtEVeETLFYO40jKxRlwSR3ex0DK4eRtep1vYaxle7xVmt
6kaiVN5kyhvr9G0Qtc4eRt1eT9MaC7hc468GTYSxFsPI2Vz0ALzrgCiP93bQ5/2s3LilZryn2HMB
xNqH1nOfsRcfllZ+QMC+pB0ht5VF3HlRACrqVvBS2dVnO3tBppzAqfIEw4RvrhamVPTacm2Oxr7B
QAyraFxL5SmmIqklzofPWLc8/rYlHOyuWp4KDMkUGKtEJx7lVrmVTWzLsSALYA3RtlWOZqMlOZti
cvYwO7MsIDuu/M/At18KDNFDmt7FZXVFjRzmESqYtoVyT5MWOUjlp/YTDmED6TvQpYrmKd91rRzY
A4Wba2IyaNvzTWFnh459PcSx9MtcYCzUlZObSlRuucjFVjS/0a8BtsMwvvamdjSwgct+vkiVLzxU
DvHxm1dcucYr5R/H8qWxTe1BbeafhVbKZ76f+C9fl4KmOJ4v7B2xJKfAJcM7qTzqLTUdXYBC3MSs
Gsth2ZRUBpG1zvMqZjvYZz5bx8h2D3nnCRDCAHETOnQm0gqNf2mC/D+6WTXuYKRUB16XWt8I/Jy7
OPT8uxB3tg9Tzpi4i1aLsx/tWey4R4kcViKgY2NW6WS3bM0LN8+HJ68C3QneRn/+9zj8dhxa/99B
8+7to30rPsv+T8ZN9ZU/nYlQJD0XDpSLbZl13W/jpjouWfDZP36Er/pxJqpuNnZ7sB34F16sP+z/
9G99MpZS89SJ+k/GzT/xLbuu56o/HRtAnGq/assk4Mtugfx2NeWevhZDUm/BaaYbFQYv3KnfdlpG
eGWyxfgi0+JUd5O/cyjdUSpPsg4puw3C0jNuo8jZaJ5d4KQvKczQExpb++XNDs3lTM3vJ8TmbuOm
9IbWeXhnDZpzWY6IZDP7xm2NonMmn7pJo/ixj+VG6jTfJr53JBd0FK3xNZvmRxkXR1dkV03eImOZ
ez/hEu6nVA0TP6qDNDegPs1WHky66NaUdMYrngKfqSsepKO9ZqP2CXW6CVyml/Uk52kFZ/1LQ4Mc
R56G/2YcAoOeWOjZEoy177zPsciU5cygQXJENhj6JMC/+RgX1Y3pRBvqmXEzz1AkmqEfySHvhgi3
zcGprdumcy55jHwuBLjn8toxqGG02uyMsrMlS/9UNBZZrPCDEfR+pHuELM/XOaL4J8nNG5qtZ8b2
RSfc0z0w5JireejpHsnjnKbnfMIYxJ62dVg2Rb0d9K4U+46SvbWVAy0A8++ulgrttkjYeHZh6m+0
XsXrQA9lOIBWBa1yw6CltzauqmACHblKZ5LxRoJxy64065LwekI9NEVvmQf8YtFa0CJTvhJape+G
qTtgf0nwbfXkuBSmZvhGrCm/rRRMtV1Ivy0a8m9LhxwVZLIcJKMpgaLFagKOxn5iVRH3yi1XdL1L
oxmFs6+t6s8q8gqvoW/AKE+EEW6pMDOuXB0Vtlv8YR1x09nWQuLPWMzkwZPeY8t6eI+M/pqRauMw
rZMrSTEv1X8DO6/Zu/dLtp8UDtaYZHY5Vb57Dv8HbSCRNujS2kwhCPaRstpbVKyGML9ZXnWlHzQ6
r6XFo22iXeKedwCWOYiS67TJp2uuoxBGBlmDoxjfO+bjk5uZI+uf+LM24gkv36wj+xlnzavCfgXh
k5feNvDk9cO+HcJ2b7ZOftc4TX41Vm55n5lzH9QsUQnqAAXywM73DmvhAdkqYqafnBJmIytMyNlD
teqr+Ur2frjW0JfXRVb5Gzsx5anH7bqdGcGP/ay/TWG9bmIQSLOAOkEGn6a6Og0i4c+EzoR20DQf
e3sqMVOjTgWJ15fU7VTZR8bFZJ8PsgHE4B0zGZP1WdjDtb2/iKBdapavNnxxaRnhRRxZ3iVEUcKJ
LhbMXMMDBQQsSIuxpafXowDPLLtLzQOu3wGnJkEwLd+NrP8uPlSj5l+P58jaffv2f9SR92//uwBR
X/vTE8mGVsQa47e20B8LEKZ0JCAsy79niX9/Ihkqlezbpkm3J46U3xcg7n8Qr2yspsCSFbHwH/GM
TJWA/uOUTsYZjpHKGpPl+eai+XlK9wt38XGNjlf5mLDoXbeEHo75ZIhjSaKXt71DA0EaIfZP2oVX
IvmmdkEGJHWCmEmUwSrFKNmfMm+6G/XpYg7RBOrY8bHge7QkJwvl8/2jLOazW1gHO0F9ysFsN2gh
9TShQkGqmYrmkCxI3AW2SjrcWBq6/sRtwfpqeVG/lt/KTZIMlSuxzA1KER8QT2wZ0zyqvJjK6eJ6
mR2O9S4X84axugj0tr4XDnQ2MWhAOxB4rHqhFUH28CPoc2jL8AkIBR8SB9ogFY12It+dIVulYVME
eNg/IIqxTneSZ6fBdOe4zgHhbD00JEG1ynx2IrHz3HpZh7DSY0quOLeKvemMdjBW3r6bKOSZBZcE
Yr3vcxW+F/10pVdYgjGavCSIS+tCZDsgCgfypziSJ9VpOpLd86L6S6QLko1G+VzTlohngKE75MHu
qCc87RlvSW2HJyKR7rq1SbqQ7NxoajIwiT8H7G/idULjCBg3Jggps5NhNyOKNNYgIoRtv1XOzEW4
CVq6W21pfYVfos4HL2azG/mcGYM6PWZ1jmTqRPHU2RKqU6ZX501LZGqjJRVGDz0JN6XeJSdMGfnO
82V/Z9rj8ghckmW+Tst41uX6Jeg9F15Slr1ULRg47hfOMxaO4rZrjeY6dszk4BntdNH4IcaCOa+g
WCHjAyEW6UUoyzrcaNV0MbRLzqq8ALE7eYnmBdLWmkNp6hCHQTXHCtqsz7zwu9CjwEMjn/JVeJg5
ClXgw7Vj2GSet54LE292iruJE5b3TUu9PA1APZVdE41ADbpcR0OQrqqCtGY4t6o8KFQ1Qi4xGgwD
VAu5qmRI0DYkemqHmkJfp64qIjL8UxjihchUSVGp6oocVVy0iMwAdAM0yFW1RtW3hiMzuXO/Vx45
2WWlapBIWI+PfuF5B6fKKUlSdUmaR3FSR4PSpKqUCp4mkypX+vdy8X3Xwvn514f5lqht+ScXC52v
+nGMs6xmzQimA2vBL3tsE7MhVW94BxydnwFg7reLhfsf/j/dlsa3YMq3Fc0PY4FNbxguQ/KQnMlY
bv8RLcJVtsU/HuPqeeDDwHMNG+ejxR/i52M8Y7vsT33onin+O0Z9M5aXvTRnZ80wUNcVUa1h2Xmy
69ZFXETTY+XHVF5VfkkYu0/jl8nq7oq4mYO4KzP2DsOOD0CAwxzPvV6avGtzcmd++m7h2UJuspPN
rIG4Kmlxh5fRkwDQXipZ3EKHeJIDvSs3PXiGO5L7e5+8WOmGhITRoyKuKueMO4xcNWMDiUCLXua6
j6/DME6c6zif3Wu7ZJm8FpRDWisHa2IV2GGhl/eOq1nbELVNbsB0h/1Vo3Vx8jggJ4/gVOVTZvox
LIys2nNXSWeE5PZSpuIoB/vWjsRMvLl81Jf8fhBsSqq4/mAlXrCKHTibKUmj8QBVznqPyxRkuSbO
zmBiX5weB5BSawtbgzZqgVYgZEXK4ifq2ghoT8B4VLpCwcuecJR5JCAyTFf2HVupKzYJ9GpqyRfT
d++LQXzqAjZ8V/Ci2F5/41oZCi4Xsr3k1ydYWmevs9qCZzLZ6wvpg0aFSIrcu29yw9xWZQbXnhql
FfUX+5gVejmObVDIBHQc0CS7iLHate6y6vSs3JjMzchf8xG0t6r+KNaLFXMmCXNfZUQoTC8D0D1P
5mEeDeIvg/5Fr/zAG+h90UI7xD7X7WDhv0VxdULmOXUWlZ+Jx3rGWnw6ktlS+XG3nULti+0v21yf
DnVYn1mm1StQH0Hdsi0pSnXCIhP0FZkDJ5HM1FrxIWN/4qAvn3lL93Qzji5SAwYW3l43wiCA23vV
ubfhj4slvM59AkIRgNQoNm7DmmbzAV14pU+tvQbe0a15v9EoUz0PoLCYuPtjz3ewB55OPVuy407N
0l1vqs1SikMBiH9q7Cej689+n9zTGELlt949FlF8S69RgjFv2BmRKhh3wLIjuNzObngPq+BmaeCS
SYOnIdVxETuyhMBoG14P1ErPeYhgMWkfbaPFgS7qbDfbSK2L4VOWMjARRHbH1KCLgMqL5VjV7lWq
tJmK6Ou6HkprXYx5D1tDXuBA/ULN3TEZvJyW2eTSSWuGCd09UQxn7HQ6z2l5adYGH4BAGOlbq9cS
SaG/8lvxPGqxvuajPnLTLKAZDdbXYlb1RHVFJUpNP5JL3yrFda47LStRVvjXsvHBlEu51wTvzlAZ
E7o8+cxnc0HidZ9tad+ZpHMOY0VQOW/NA7tmK7A87yIeYZ04gviTXgixlU16lURO4GjZbZGP5yjm
vS1jl3xxmm2Swr82o7LZOjmuGFlLMlctydSmdO6lwWimt/rX0BSvupV/6JZ9aKSFWs3NG5ib+Sk6
7fFbW1NRFI+F7M2N6dNIOPfGLnGKl2oWJ1urZmLa9JFSSeiKybmxUq92Kb4FiDbHzbsl4SCaNg1b
igY92M2lo6mUd4ZHaFzeW8t8aTzf2vs6taa1714vw0imuo+xorZkdfGklysKED8AynYH3e1Zo/bA
DGo93886lWCDm1G8HVuvtSPu+qKnRDD2cMYOoQzagXBUWtclfGH9POKO3ZBX+hyXmUytjT8iNcdg
DMHrZ1kJn44w7sofGlpluTkD/JYfhMaKtdEJa6+H0j4nk52wQm0mwnxmHFhmcytLZPjZwxNtLOMm
S8qJ7xNFUhEUt8ROQbmlcQ24UB7mInwtyok2Y00UG9MFgDJZvFvrNv1w3BIvUZguG7sMt5Gw5r1T
ts2hqsU2w0AdxK6Tbz0P+xLn4bIr0+a1BclXQg2MZLirMJ6gdyYONGdEtLmT+opwHN1MWklHFDj0
G6c0663bGIcmsi4YuHF9F6m3w+0F5huBgWq3eT7Gw/Alg269jYFnHs3awqCN35UO1ajcx2W5PCyy
4HsjZ21r429faVhUaGrD2mn3I5uIkKW34VFha4+nKPePob+ctGQp0Blx6YTZctMWIfFtFyKe61ws
HX6leMBNjovluh7i+9IkUgeEL9/WFm6CIdZadgL9h9NwHSoIuu4mj2jmbHBfgerM2jyPr/sEhTFE
OsiqZNzV9XKiivoCLnhAne71yAy9sdJGp5UZ01jitmffTj88AgB5FzJjuj73fUezgarbQJi9ecNU
SaAKSuNK1+WjMWRvVaZd521ylwEBX9NJ4GzS1nBWrag/c5p+I7reqA8T9FQngl8SGE4gc/2lTvAQ
jUNyDv0Bc7qhj4Fs2nBdhdmp9Oi9Tqc0emziHJZ3+OJgCVqZfHTdvPgKPejFtrSVHffn+lvOry8+
UHr9jeGzz/eL/BFsGynWhBSfqWk3i17rAdS/S4M7C3yo7JRz31oLnqm2NnKAGcbn5HV7dwgvPLaF
O+o2jkhCbIMyDeWofCrm9jyVJpb/uSiAjhO5D9tj0xknOy++aLX3VU6YoBx8gGWj7cMu/STWukWo
7ncdZV9dzY/KSnukA/FiiU4FHX3t4OLVzlCL0ve44/Aduc6mrXuA/6TeNV4ERrM9Lp3Ef5Tx7aG6
CvdTd5oW3s8JeMMtQaJPi5D/iqXyXZJG/GQO8LEAbNIquV+vUGD42O2Y3F6ZwA7JROUqk87K6p3j
YkNJGNicgU5ABZFPhsUvTj0TV+D0lOG93FlF/yFIdURuSLkzvmndpUCMIcaweOD5ZURY3uCW6SFu
ZclDKyXqWKfDWKyb6zrxL2heJR9MpmHQaK12UeG49BU7IDK4q0xFzZDFCo8MVuuiiLaQr3AwLkRX
iZzcFSNLU9ND942ZOyl1SbhiWmp6aA+uFR/lnH6NDZvSReldzUa6q5Zd50Pi93btXAYGBYNadh/n
I2FmIdD/PXuXppgqZpdBxlreLU9uHRm9e05ygV+ApulQj/lmNW8A4oH7mDK1eRCP7YmPz300Yw7F
hfRo1C7iENfkrt14eyvK9ya4rbHPgtCz6pvSaQsw7WXiYHYXtqE9xWNVYZ7gPtseSbPKAvemHL1x
W+WjNt/MfHdK3U60QITkIqPFlUng+dmxknjZpgz6KM6p3UJXIKKWttXclML4TJPbRFSBKLIhCMfq
GaANqpM3NrjYImOTm+mD1ZZ3EiPAlpzi1yZtn0SCQaRg8NJCell82z/ErnhDLLyeEmrnYheSRpzQ
A8nc1a2zTLAskKOxouOGfeP/Y++8luNG0iz8KvsCUCDhErjcqkJ5QydR5A2CIil47/H0+4FqtUx3
a0P3mouZnlAXSbEKmb855zsBtNVY5WKrudJ4/+b3jtq8Za7oO8GxrISxSApjNTTy3DXhxWnlcR78
LMhOfBJwLWrHOJL2S3WTF5+4W4CsJckyzmyAtqGxR3XwStZhtpkiFfdMZ2+Nrr3CXwRdIiARnFZi
QV3Trywve6n6lAlwwCqN9HKyEq2jUSY3Wty5WYMVyEzzfsu5e3R6DMAjxNAMhNcWlisgeo1vaFaY
/wxiFGuBIbmerAWos02hUe06In6MS1gowSUuGMiYLAkGhkcVuxHH7s4KnTlC2+aSmtELuDjMgAJD
1Riec189m864TrLubGgXC8GpMjG5rxR/36n5fdz7uyYIHxrZvC+cHAMsQ3+72gyWvMXvu6TuPY+l
9hgW5PjWCidj6u/gqU67qE0e+QHfB7NATVILukFTMPJIlUcjzbv7dOr8RV5Gh4EF4qruopwRwwQ/
csTQYomPRcdgOIqv+z57igsbk1bd8ElwHhIzP4Z6cJ/2KHn/NPRvDb1A2P/fDf0uLV6r8Cn552R2
ft3fLT04+dk1jFzUnDUS6Be+TmaF9U4AqJBIF96sgLzq62QWPL2uS5WRKS+Ub/ijry299o4pPx04
ceB/kS1+R5qm/+wVmOFGzH+pbzVEFAAxfmzpJXlT2aCU42nQaTPndEloC4UE5/BZnabMBLRNskeO
VoGWYNrmVjzv0bwhwphiGfGNp/Gg2qhR2bx0coQLqD37jLOWueM9wY64jb04vSJnivjKydLWuslC
j2E1gXuW9TkobHjLKZNFkcEOpP7SXVlj62qsXuIcEuZx4mHZKVnSAHunUB2Xg0XbHkV+dS5UQc/E
/UPzFB9QeGaruujHNbSKYtGURGUlcBmWYCBoBxldnI1u3MdmeLTzxjukYRITd+rwWCMPISNTg+0C
dGBcD46kvG0wlpX6EC9FLItVOcBDLu0WTIChPCRsrgpryPYyaO+EFaigrjmkuQwKdpSjcq4i67nP
2BKWuRQbZqufpyh65MRHXWx0It31nvSOhRGN7yl0PDqT4OTXOpqAIHpt/El7AHpOE8hYYt1ZCfvN
OkEWzf6fcBwncw7IrIVr9aqyN4pBPZph1mxCEBELv0KRVUl5bWMwu4UEvuuD8U4pcDLmBlgm1Sa4
1aJiBWuBu1I1GLHnMPyJG51riR6VCaHHRxG0qOjHKjAfusKn21Z10FTeKJoNZMIRGcJUVVZ1CXjv
OqCZ4WkUCMsWii88usWIr+QsbYdczcJ2SkYOaB/MHQQo7U7R2oSUyi6e9lWXOZcQOXa5yMFQ0eby
S/AuDhckF1TsfO6EEx81ZgXCT6dbxtxiWP05vd5OL/OXu6WHPPmXYeT8mq8nF1IGEr2RIwgGjw7p
id9OrnmnxJmBvECSA8Q/fju57HdwZlDhYmWinGf2/22nxHBT4KEmGhxh2JsA4jdOLny3Pw8jZ90X
xyQUOAlM25mHld+JapuqjzKqn+FSNB7JtCxVpVfdNVrK6TDvW/HX53dhJ5KL1qTpbT3vZRVVkLg7
eYJxxsCDNK9vS0M/65xImDah0owyetUnq4ODxd43YAHszJvgfN4Jx/N22PF9jpQUPYTTevmdwRK5
mrfJDY1EFwb5BaUPJpR554zdBNU6VAeEi2yka1bT6byjTkjd3USOvoGDsNNZY/sl++xh3mxb8447
mbfdBmtvRbV6Bpv2h2zeiDOtyU/BvCVv5n25EmfId/kVXEJhe6xiG2db4rYhNVbDKZE66bYvpIPP
VHe2RTavmn35MeeEZKIItHOmNLYlqFWHoHETrmcD7NbhqFqaQbFXW4OpnK+6RP/t40o5sGz6wG/z
RDIWQRBNPid1cURkcfBodsbTYGEhwCF175fxfWVmiVsEfs94J7xtsJKyjlPYyWUCGYmPXGFiFKlY
6avuc5IAhNlbFcdbM2Us2cwoWjeK6a8Dj0Y+M6cH3mg0r1ZxC7X9bCTjJxuone5hUDUK/cUb6ytq
te7IwqUCVkytVfb2mckhh5Q3nc2ct7TBX1SO/VWc6p80vbpnQ/SseEy68gBzZjJcrJ6GSRaiwSWk
1nCRtB0XurlEeFWvet8B32o3Sy2dw3fJBh9SQsOl7mEVCB4Kf7qGrnyISkaFyjApiy6L2U16lNOW
DYL0oo9qpH9CVWSOO9nQkMvAP8Brm1AYop5bJVSd1OXmq4Jel1EcQDxlxC8H28VzIhOmWkJuVYjz
x8SrCuTkqEsWdkmHpdojIpOBHw3gaMauXQraLGXSbiqTlKnO5pQ3/Pi51AqD6JVwZDDGciqPnLWq
EhRsxRO/5LD2dspYl0uAcGLZ84AvVT6pul/cJBlTnS40doONKLyIU/UuCzwYaQaIG0iii8qMaPoc
K50HDDR+Kk6R0XsdR23L4syEyGzeVY33qGVZs5QkT4LZOqOU5mZCyrNI+1ZdYNTYKbibL5I0AxK8
qwarYWithwqaTJznS68xj2qIpd/JRmepMqmokjbco4g7lEbCXCcPeZca5HP6x1p4F6X31/0kB1DE
4aYpkQAunRSOE9yehT+SPVImn4LEZN/IkFLjMSkKOfCLTR+LoN4PkgCUWMESTnKxuLDsm/eiSnAT
hSXoOQPeYWt7565kjRo5lquNDvYstE8LvUspj4rhehQ1lMGyiPeg3m3WnJq3VXEEu3adG5vRp2NW
CcnEY5cdIBpKd/RbfV9b/rQvI6Hgbi5VNy+LawvD13qKx72i+h8LJdWvtAjNDKdfvFMQZsOkLvaK
Phujfc9levtQysj/XGfpivVLa1zLKHqdogm5UeYQJPqn+v9iFZ7jf/+7+j+8Vv+inJ5f8/X+FJJK
3YLtAl79L+fJ18qfZR70N0HhzROPvOK7+xPniTMHPwnVJr1hFl787RI2MKVwFasSWJvg1vi9ZR4/
2U+7PMvWIJtQ1kL8IQrqx+tTisLn3JiaswSBTHRaWOEgDLRkJUvD2cjOfqo9v1+XM1ZbjFNkKPu0
tluGxzLUoodQY8h8Cby8LXdIZYsU9lHUqy7+wlYS7FdV/VXWF+dCj8M7pkJYtAJ9kpjEpprSNIge
9cTE/5KN/qZQPawuPpkb3oh8D3eMZkxAqt+E/qUJ8XtneEqKXVA0Mqkf0gAnHuGLeNEYMOmtVYf1
WsuGUOzTlFzGW3+ihCUJyouIxIH7Reagj7BaMskausZakfoYbZR4LN2+9MSGVHLh9kM5bdTYqj6g
J2jFNnZGa3L1uh391ag50+AmLSMueiNPYQBjFAoT+WKyTu1YB/mq0HLrNrSsag7GLBh5oUzfiCKI
m9tYTzDFgnhNLoNmBdqmlPx/RJb5x6k3HIQsGAajimD1XO5Yv+mq+6fEfStx58Lzvx/R02v1/Pry
z/Z8ftXXh5QnUeUpZJfN9c3zxh/9/ZCKdxr+foPxmBRoTahkv7bnPNm60HgaIf8QxfD9Q2q9o1TU
JWRinWy138xnICDi56fUpsSe0QCcCnhUf2Z/6YrWE8MUxxehGk21Z4mI5zPsUkNB/B1LEq7fxpBt
GZW4puJVq6UYA9LtsNupHgEL7D9IqlpEzDODebBZMOGEjFkd1AHF+kePgBBsCagPMUlqS6wSF1r1
aGVG5C0UmkmwKNt2driXQUm6hSO1J9jdDNSr+FCo01VmAdmj7P7ApoVqlgldaw8fJrV/wfd/A9mL
L4BJausPJqHcdr4lz/WaVJLPXV5pbhqlFKrMSEhbaWJQjekVHi02hOrYzDzAC/LK6z7FXWXN1nOf
cmgxVPa2swqNTh2hjKU90P4ODN0paYBjJMRMlJ3rmEa0LfQ0cZ1K2myFPMtNy+BjG5cNuy/WpT5j
CSaBKtyVIEsWraIrmMytJtiSeu0TGFng5F3Qs44cM0qyRa4E582IzA1VfHJQS8p72cjh3uo4N3MJ
T7ceQvMS2mRz+yIUZ7RBhMsZ2hXOByYDNUNVq5TNpgpxlwV5ijGZUoGsuMgm4ahstqjeJiLYK5iE
nSAskmyxeh+hXb5GkaUf7KJitZw6I7b4mjCFcG9IxSJ8N0bNvdZYdhMiFYtPotSNFSpgiE1RdAqw
zLYeQ5aGaUiQoZoj1Witmum1ETm4T96g9iiYX5O8vS/r+Jirqr9iYbdJmhimn2megD+faoWwuSAN
V2aR3AwBZAStetCU+Bj1IJ9LLb2jkMeVHNjPBjsBzZfnLB3aZhk0Mr5iERiCNwGbE51TM4imkzAp
ElVcjnERWUvdIDQ3HoNdm7ITIc8sY/Cu2W46+c/TAJDRI2eC/ehsEE+rYmE6GcKNynxGJVItgHfH
TN2beqUHg9sCyEb39N4fmmE1Npm5Is49IoywQJlNnjmDJbZxqplvFR8GqgqLeQj5NyO+biAcV2IN
XzL9JmbUxBtkTyi8qJq7lTqoZ2lyw8X42hdjEeM/VpuDBTFvSVC75oZJrSzUVHu0BoHfZMxvezmE
WOYZhHhZLUH9B6zxbZOgYOx0tZSvqee/gBRIMPUnS9z/JI0p0VVrZlSOneYK+kpmxWPq5mK+V/Le
Wdt89FVhkNelVo2/8kzs0Qxd8qnHRARla5/VTX735/74MuDlTP/v++OY1//zv5n/mrzW/7xEBC/9
eonMlR6WD8OARfSTbAtFl4MpmTnIW8TPbFr+eokY77CCYCMhoAlz8pui69uMdy4CUYKxziTEm4zx
35iU/GPCS8moUt/pM70Yzcf859/NSSJbEiiROdG5Td3JlJA3NkZ5/90v5uoLV/H7SPqfScOIh/ku
zJCBGXJRwObn1/P9dymJeqCeM6Nzk0dhssptlbgZBw/a0iNTx430usIxqglQx3bGPjKIlsnkHTom
ODdqEVwnIUQIMwiPvarCVBKKCXaiJYhQhOpS9YNdz83WdsEp7JhmtOKoTv11PWqncsoPQ6VfqF/3
ahSTiddhyIrUEuHkiBcFeua4CDXnBQxsT7eb8ocNZGH8U58hs1eIqiwccxgIwON4vH6QoBRGlF/W
vlemdOP1g1w1CuElkaPhPm6nnP1YkzEZ14wPnu7IjUxM/VFLEZ4p5EBtQjUOLDdoyyJx85F5SA7b
l/UpCqmt7yB02Amd7dWi0+2zNdbjsJFoNTjzUMUuGr3Q7Q+TVhLJUmrJplImy9yIvAd0RU+M7Qc2
n5k2I2HtYH4u0JWVE1+/WBHfvIjnWMScy9jODRICmHmhH6Go5xpkYpIY8b7FB2xf8f1q/dEcfVkf
tDHvcgzH+k0uK3O4CgTWxNIfnYNTWXJPdKb/wB7DuO8YWrCfHRnENllr7KhATMCumtlPWzvoPFJf
+tp5n+c2ijoqZBehl7HSiiFgioICrPT9cdch2sU81Eq34Xd+RLdQP9UMQ4aRzdY42NrCKcOdwojD
patChwXh5oYc1H1EFJHr5MK58eH/LNATsj4dHfz0BZLYITbQQwu6l/DeTs3uyFvXrawynLA1IC2s
aYO4yodwbwG+cRkzTJumScQyc7gV6qBjEzyW9cbSu21vZCR2Dlp9jaFCuLaSnsIsOSGkyNYpbEIj
N9FSt+SqW8k2DyHG+Lp6VTv9bSNk954cR/sz4bHofuOV1Q/W5zxsV2Zar2KvFHeq0q59qwE5k8eu
o6TrGLZgBH5vUVvFS103r1lYvY7R+KGMFLw43d4Z0jUHCGuTaUOs9Wm0u5XuNFuaxONENqpfdZ9U
sz2VqbJOCLDWyQKo2vEZf+LCz589tRWr3kr0DbFD/BBm92Ba4adksgzgYtxjTYfATOmnIwlYO93X
TsjlV30bPxS8fXWD+Qo6nut11hrgybZVp4fBq10/hUhUqiXxDz728jpTdyz+o5VgumJKecXf8cYE
G7IawslfEe+AFqNTw1NgWGyfPe26SVB+92Vz8LWBDzPCqqQc8I94aIPsdDw4PEQqSD/NqdAh20e7
0I/GkN8rE9UhUohW86+zsjgCL1h2mnNM2+46cMJ9ohUuSL/Q9X0mOiPAuYgBzrKtGCP5lXqOlfgx
j8Ujo6x9WMeHPLH3USuup16sEoQreZKcKCCXZVKOh0nKbaFADreRYZWx3LYwLp2qILWJunOc+r2d
T+OunMhmR0j4ko4eun1qytXoQ4gxBz3elE6x8Wqh3EyjUq5/ffIi8v2pReDkZYyABFi12Xfxvz+e
vMEo4BxZCVvpMtZcgsaJy+rIZ4M6nhybVO9XskNVlcORTIvpVRRlfV2WsXpnTzZR9cNw01bRUR28
VezIe3VoNmVgfc7iyGcmRhwOMCbYWbOSfOIzncw0Rs+smT9hvDBKEBPSbrZIHz4hB22XVLcfNLaK
bieIBhUqUblJtuzLZT3sREF8SONlGxFVGw2KTwKWlMD0lzFJbwlp3rfIgqY62ZctBtciP9q15mya
fmTTPYZbbQjMJSDspeWxMg/Ij/O5l1a1Wt8YYyuW+EH2auDwXNPtE9jMKDeqhvdR2BkLx2pLPgva
xQgBiZcWZowhjE9dMZ2DOtrFvbkxSZPFp1fuvLfZrY38KrX9NSwC1/SLY+KjwJIZ0/akPyRtuuVe
YxxboGjMxxqjQ3WJo+QGH73P9LdLVhbpF5hB1IVXVVehXnerFBPMArrfe4OMvRkS8+QgswwZ+YMI
LZZ2Na3juJwVaEwOUsAa4iFKx1Wqgx5yjG3POaTX+UvuyKNaohnxHeXFE9a0KDAZWC0m6jhJxU4p
5rOsOYbS+qipCWPeEZGiEj9gRhBL0ktiQCP+RZ9MscIiPwuMI3uLiK39kIN/P4RhWZ0SZNa7X39U
51XyNyTzW4kApYV0Hg1No23MDfX3JUI0Vf1QdSlisDZc6dG+0trFr7/DrD//9h34kgy9MUHZzNxg
WtnzNO7776BbLKzBIfrnhCgRxbqEbbgNixs2RXwSaEUJNHQi99ffEzj2//Nd57/3dwVWW8RNYeiK
clLH7JZdu74Y+QduxY++Qe1BEly0bGzz3vL0XdcifO8GdG5J1s9KujBfZtX0MVfkMWyIYKzTYJ04
vfhkB4ZcpWr03rLTfuXHRLQkxoPlxcNeJLrV8mnKcredZObahUJkY0Fqr8zGcdcOUv+UZ+DUWS/o
bhiGzwmfVbdUrWDFCTyuGttSl13r3LZGMm04D99jBtF2qU/0+9i8RNLZcind1VW1tuoeDL4ZbXU1
UNxIpUJJemJWxqlVlyWKxFXVm8wAwuFGCzI24CEYQN23aNLIaa67z2XN/KEuwl1lAIzvjbthiu5p
2fZmgzCmmt3zoQfwNGrIi7BIKYin6ADIZZWNHhk2iUogtBdzyqr3nYqrN4zSkx0Mm6zq3c6b+ATT
kjV+ugywC+dRai+KKSIUL/FOBUJhvPhsKaxpafvDLXNDCrhCwfHJGkDXobpOtORKgTxftPmT5Zcs
89LrknEmDBOymcQe1xrrHFMnxMzmRGSHl424XD2krF3VnguLOxLx/a6qjFe7VFtCzwgtNI2NXxhH
2f9F6/7PTI832PyvPuN0FN9/2nqDEkMD5HCKjtmVf1bW5aH8QGbDjqSKo83Vs3zW+oW5F6fssT/8
+rM+Z5L+ywMGL0lYLOyZHv/4zZln2lkM2OBUrMxFdtSWxZo9qjgo93INwvz9RVke7zsXQn/3xH8l
5/GoLvbh2jvrwMv/n5/mx4vvy9Ouw+bHNG/RRv08GxvVPjWEiIJzoF4B60Czfl9121//jX88s/75
PdDofP/bZpTG1idIAi7XV78i9eL611//X/8OEgy8xPaPGf6ndzMdrEmBusflrVyVgP0qk5rzywn1
xz0reLf+u30/hJn/b407L/q7cXfeGdIgQk7weRbzsPbb9FdFrUASkM78FaoM79vXvt16N98tABZs
2Ilva5i/NzQzNowhstQQe0mUXb+FDZM/3mbmDJGFLUpEEBocC6rZT7eZ8PSGbaU0zzCW9eq95gRJ
ir5xTMUqCBQkBzZIlvBU27GOfdMaQND0ybWq6ITJ6kmKFHtowmUjVQ+VpW3VEJXzihGj7EBhtmbN
PqWuvT1Rreh5kYtM8XWOr6pg4gs28XHoNda1un4eraxcGbMZi30qDVkZfMoltBNttmwhYYP3oCrL
ATcXN11MTFk8rnqcXoHwPhZv3q9cjZC1J2+esBj4MQQDjGIdU2RMYwFf1VrmLcO6k6GMZEkC5wyN
0INqmfSgt4kQ8rKu+KQBmfaJOcUZmnpLUWRrRq79Mk+jLZ3SlrKlYTycfVL1KoL2hb0TEfL70Fee
tVORjacc7sPAAGfpJFO89BLvTpT2dZqrrjN2m2i6Fo31vu/qe3L7XAMDgnN6+/z9eRDnnuS/H8Tb
p+x/VuGr/y96o/mFfz+M1jsEj/Sxs7AItzhH4ddVDAM2k/RyqkbTeSMuf3sayfniX9ckvBNCGt4e
4W9TNBPMMlRjZEoM0czfmqKxBPnh7uNH4otpus0zabCexTv141UQRlFQB0mjn9A6ozEiT7fBhNFa
ZjzHafUFnNRukozvDbXQBnzrzEnafHZ7ZP5RbyP5FAfZUm/QWKjlYyQTIa56UZPLE70J4OpZC5fm
zbT39VkgV85aOaIkkM2JWsX37cxqutTTPWDiltq4qO4icRtKJzEOkz8l9TNSfas/VXrBNTJn3HVW
lrx6XRmucqyZybI17DbaqJEt1k5ph91NU47NziCrFRjFFBCT7alj+4hhG4O6LAP1oLWOd6jKMnKW
GUlXbjA45bIqsR+36hgezGY0jp434W+OHM95ausscOgKvX7aSIOqK86C9gpZ4hMl8aOM/eeIcG0X
cSvJjZb5WjSAkZnpgGFJS+OFDgxFIniq0ge2OanmuomV9rG3qCc7TYVN08c0eni/o0WDRv9eKPjj
nLj3nofQ6ra1nkECVDzgTKR5b2NRybMs22E3FUW5McwuX1b4sNkdIZ0y7YJisGJG4nTeiTeXBC8M
VNS7Hhas9GC3BI+bXiVPo2lOO0TkMGk0NEWGE2xkWOIQ8YktRL8VQXAAjyoZBCF2fLWNQNnY3bRF
cnrRo9DajB44AKWec2e8yph19R+NwKDhxru+4P7ZMNXCNYOxpwmq/hzrQwPGENKIg1l+VYF7dCO6
uovqx/Gt0pv6DTPL7DVSjWqflmF2H3VEDXIAvmTwnL+UWX9OLZVG7r9Prf9NijB7/efgf37V30eW
845pN9UnB5CtI6L+dmTNi2U2ofwH/eSXFfHXAoKVANthXf1u5/z1yEIiOYOlJFf/X9mEvzH4F2+g
p2+9Agcj20aG/rpF1hJscOun6tKvZB9Fup1cFFE++GHTL6Y2+SRGc5eQ17GIeEDrqnWlmS7UDmqC
7h+dsTz3NkNyrweXkc4f89ZXlpVstTXjljU+pNs+ZDllS+SCnU+Bj3zZUlCIh6L5wP6zWCYiOQZm
meAprLZJXD+lFonzrTBePA2qGhom2NOEog5298LzXC7nyfgKcqprjR1I0zGbXLVVmFqnfPw1mz2i
bFE8gt3h8s+zcZ3l45XGY7nS/OTQDiYtt9985LEZVnU2vuSqtYdGMqu2M+ReXR3DX9Oxkk0t6gzn
anLEPb0jJ6+NlYxiilQlick5sqJwOfnzdjn1CQz1mIY261Hm3qIscWJrPcvtwD81MjvgPz6gEzEW
+cgSMtU0QM0EsJES4saZdvKEdueNSbPumBWR66F3i6YGN1XEpPOwSdqmOmmBnl3c22alwNZC/kWI
KWe1f9toUfGolv2Hcca4NzPDZAa7JzPiPSqrx8HvdkydN2mBn498XtJZmJEBi2AgC0juFMCM10tc
LG3YXxRiWd2YJKyVZk6+O7GBRCPuKBslb290OPQmoJRNP5Pp25hhqPXUDE8F5hYDin096vmmrdRN
0ta+W1Ea5h8cEWS3iZoU8WvoTy/9ENxMOteRfMtfiavAthH+R2cPAdSO6k3dDo2WX7TKcy5Gyk4b
HOnScFpi7qS1bSoiQtQAM1kAuOisRxOMwDBPWUCb8r7PmF6GaXDSh/y1nDq4ibnvMN1mVTIt/lRn
X7acv6zOjk/xv5xy4rvCDLU3gb9kUMOom/eI9MBfCzNNf0fJRbtDvuhf6VhfTzmORmo4zsAviLy5
g/p2ylnAlVkZoqvR3zafv3HK/UsE1tyhcaQy/ia+lYXpj4UZ5g0kU2VmXuIuQVTrp6V3OwxxVm6B
vcSbnqcNLyC8+9I2V8DEkx3agX5ptoq5jb0036Wjlp76XsUKEkHMWw8tn0lj1tfqCG3tWXHbz9rb
2M/2yqzGlbMud0jUtZWSAOADE3Am+9WMOuYeI0QLhAYIey22WtnQH1AvrxW7m6uHqL1puhrvw2A9
JgPT4DoKHLfH1Jio+XbSi02v+TelyFiBWjBiag1+TpZW22YSZ6d2XgFcXIe6fQHctWPZewsjgQe5
/qj4dnHIPMSwAQGogRHuhNN/TBp/aSvBbaqZ7/3QJhTIplszYr24FbX/gMJ9p9sFUz3vAS/2Uxvo
AuEBSTYxKyEyT1l7hNB9uMwAGVX4IWXuHEooQYu40gB9JueS/S2GT5/dk/FUBc0FCffnhl80Bmzi
v/IeJYNX7FMZyyW17Zb6nlQnSi7kVQtnIsAnxsAoC12sdDnuJ0/5aFfBNXNC4mSbaNf6HOClrCd6
NJpUe/bJs5klNzzfMiR8iJEPwjSmUNOZnvtjQg5pETyT0FMtx0KYq0yMGyJF9gkmn01qa+esICS7
b5KAlVT1ofACg33Z55YFx9aKLcfFvUKZZlorRJ2flaHGH+g44AnZH0wh6NhOlnd2ZQPpcJIt+8/r
hPxQgEfU/ZSXUVPIpekjqBpUf3zkJtvbvvEizRoOYkcVLfLpwSAgGlDI46BO16Wt3OFqeegLVrVV
E3wmIhdOQx+D56+Ry8hxGwNXwmktaiSW/SsqbHznwsQgU/jrSGuf0QzBqDb1teziZ1bs/DlqFnzD
oVV/6sg5PsL6RmafzgjRhlIhAWYEWJS/P9CMcaaNEkQEebQDocuCxpbgMxit8U5pMnOIduHFcOT4
gEI7ZVpLLmIGIdBhcjWyMleIZSuCYDt26mXiYbimIpZMlW2I/si82W1oe12PdGTozkIvec0UFsol
8rmS5aDmLoliUFvNUo8XsQCtZ+jhsEtpfBYmsu69bQ90E53Zu3i9GzTsbCvVrlv3GMJt1b/g4ecG
1MRJJ40MIbpzDRTYX9VJdC4tdiuauO9tc7ytBDsQJFDoukpo/zpWIuFVhWuzC+ZG0WNstexuDEJI
KBuI7AKAvkC5wedGc5SVzEh5FX3bnWFPEMGak6ajjCfIgG7skBvV4uFatAlrZoqcT1WrbAQ4lEVH
WFdmtfrCMO29gnJiL/zEXuVslmfXc/WoIbhdAKPpXYbw3OfzGCMLJJZ4tE5rpUigqeBpeC6F9jFK
U2/toOdw+6q3N9mEfiGOExqIlFCFWolUxKxlvhDa/P56VkrmvHcoaViSvj+HPFHLnvhnpF/XQc/f
Gh09UXj5QYyoFlKvcXMHqyybGvDhjr0cAsmY3G55h5DWYWNfs3Uf12mWXgdmyOifTcESpsjBpnhZ
9IW6Cc34ASf1plXq2ynuOmQWFcIzcmMzEZ/qtoKu3NI9QyHYeEWxZWv12dc9NsZcHiuCQnhgY0Rx
J3tI79I6So5O0F1l/EZxrxFZkeYmGe6IAcG93zOYIh+5OCBwex1yTRBEl+6buAcULtBUgMT4UyF8
qRC4Mv+7Ezo9vZCT+c9OaM6V+q4TYhKPl1RoyGW5j7+rEVSaJBMRFNIXDYUrf/S1RoAyiCgJcDeX
N6NOh8ria42AjnauDWhgkNryVPwWgNCw+ErfLS7mTgjLCpmCBOiq+GrnH+L7OT6+r7HWGuFfPCdF
FwTeoalnjR/EByKr76nKF8XQOKsJJsSMkt1kqc8OtN2qUCOMGR/ROyYrph5jq0wOA+7WxeREp4zE
hpWAPjEvvnBQAaSwIVNA3UMCGDqOa4TFs2ghqTV2e24o8TvRPVjwLQScC3MGXoR+8Gg5yUpBhfGB
nahKUGV88NPeW0oPcCs/dr5uYWjkM0zDF9oDRCKy32bQBoZ/zEmU+PBjvc/ELr+iqsfiPgM67DzC
qAazI4+DawAmT8hyPygz5NyZ8R65iTQmxkdjzuiPFos9Ckvyt2qZf7LhgwRwQlIG5Iuq56/YzhCR
uhBXhBMC5SWyHMpINONGoorQ8RoCCbatKzXTh0UYJsAUZ0xJMgNLLKPowMb0z/AyiGwQbbiIAztZ
T4HJTFiN7gjNvGIeDK5CxeRbE+137FPntoaUkqbius76ah0l0IcUaCoBVJWgGQ5FDnhI9kG9MCCv
+IK8RT/ntGJ2my/y1oSfENb27ICZ3oPqyrY421pCa2REgQDcBbV1tHbi4UWZwS9+FxD0nSF9rWcs
jN7biltAirFKnEWGXXBoed71OONkCH501qPPWtJJUmfhz9iZbAbQ5JZCbiTlWChRA5SPI+6ATe3r
uJCLAJWPLwEiQLQB341lAt4MkBsPVE45uXIG4CAweG6cAOLODMchrSJ1kxmYM0DOSSDoWH5VnMK4
gK8w43Vgiq2jGbijQt4JPdG43Qzj0aDyoKAJVpIicxXNyB67ZYegzhifSgOS7LfTMy2dDsKjxaM2
Y3+iGQCEW01uwxkKNI32iTLEWdmD9VoVhAhVwG6zvpnHl3yUEccMK78LgdT4CPyEYt1mMIi6GUYU
IkZZ1LZMtg1g4WXt94TWAy/ykM/IGWfUp6wjqKSpLmbYUQn1yJvxR7i4jC0M+Acn0j4hG9nIGZWk
DaBlU4UmXrFL2lzwhkH5iQwvKLS9LMnpqh3rmoqyMfZzNiPUCj68oTtUIxGqPVSp4H7weea12M5R
obUqrcCwHvVGv5J9+gDvEda1HYqFVxPzRPDFhwHhEhITrqwhJD2yBzWS56TGx3GO5r7t/4+9M2mO
G7mi9X95e3RgTACLtynUXCSrOImkNghKojBPiRm//n1Ju22JltXR8bbe2B2SKKhQQObNe8/5zm7M
GZwkiJRDyaHAgIlJhxQeR+OBrgZB8bBU4VmK+qqf/HbdV+X3pGvuTYsAUNM7DR627i490W/dmSiQ
Yi2+1lOq3AoA6srO0dUV0r7TKzGsDf7ebTMZJ89CPoeq5lC5kblBxPgy+tG+He2TrunfRedugXWq
pcneVGExHyttfjXVtLwxwFk1E50f0lfFMVm6rTdFE5i81O26pxJEabWd4hqqNKih6t4a+/YTmqAR
iZcJFEPo7SD3Fqrlz1FWOceurfPoQhBZ5B26RrM/h5Ew6Z6SUr8r/Kxb0y9+MpB4bZzJ5NEIo3wT
KjW+TQAwgXCUESPP3cZRqn2ewpfe7vcLBIAVVf0+Vgp/V2n9xySCfIX831uW81TSAVqKZQk43F1y
EaFXUK6BoobzKjO01z2WArpdt1JwjKJBCiW5rYk1znJ4be4dYjmEWcOnRjkUeIt3HpYFPLQwCTAx
+HZy6rPZCepafzUm1vGqhKjHGMwYDXTZXdjum1xLeNaUPUI3gxltPKJrvBNlNBrZoVQcGZrPr241
xBvLhDHjAptJsvSLCXymSqcvEzCaklxkiLLODusk76Ei1riga/TpqkSAWWR7j9K8XHbIVnba4J0j
Rb0ZwN8IMDhL0aFMgovjAsgxKM9XhmLm5Iqe4xYj+XTwdGJF1pGKsVMq2g60smKVmgkmKIxSM0ge
a9CNoBircWWK5i5JHfzB0r0KEe1XiujTKLaPz5mkiU3CgKH+OBGsKynhAAEEykR1qQAEaaBZArps
T6k3fE0VQ2ic8tOoqEKIW05hvTw54IZAl5xnxR8yARHVikjUpzUIeB0kkgd3DcsqYKMooH1orHrO
2iWxNAHReuRr5WtMa/eun1lUs/YbaFOJoZPF1vK6U6ooSRwqBX9w2sIhONodJKU+iTmfAFfyhcv6
zGmWqGg0sck9qR2vTe8ezIZfIxNigNKUWXzVOmEXUgGcXEhOhRG9pb6/dyA8VRq/G8J86gboLzCg
CjPe/a+efK8nlUTqd/WkTOqq/UVFqX7uh4rSUt0jCwsWoyKVSfOvrhOzed9hGAh6AGcUnaV/F5QM
+wx4p/9M7qLM+7OgdP94JxIggQfC4qoy9O80ndQ08mNBSYiNRcVrIfBHPPBzQZlKJkzuYsbnQueI
hS2f2JDJ0GMPflBZRpeKVei49I34LGJ7RDmilfQV4IeNL3Jx209+bFf3vp84C3y3fgQBVLrdU2v1
BmszBd5GxCmn2kT7NJkAN6dosYPcNLPAnMSFsPFdTzpfP4iHKJ9fx2h5Battr1BhidYrALjpOzMv
krM5UxMZmdhMQ0icijwigQKG0nJmjyRwL5ITX7NGotniQIlJOVKgJFJVsCznOO49hTiaFObOWzm9
f7AjKVfDGO7rQtzZg3NXJMJYZxYSznC6WTyc7P5gvDZlc19b5ufY47BdhXLckrlOiKK5gIdNmP0h
OEfGaTt3qXCvBq99NgtYLEwrrwpZnfo4YysOTUh7rQuUREb0I8baC+oluxuaGhLCUl9bkljypWQh
lKotBI0LqretOgk5TZvOQnU+lVF+RR4EwoX6GfPmELSGXhMNIN+WVs6c26ccP3a/z1vGogATDHaw
2nVTNgk/sG1irDigbFke6Lak3APcovisB8/ZJyX/ZQ8TAwW/+lTG2TeWqltGf2uvzr8aWfwgKnCk
XZcyIHXCAx2P26RWCUOOGwd0HcNVBKglUnqEKrfvYiEebAmWBcHaN1GVpwU9fj176KF1wJxlSU4O
lVgKcnQ6lYmBSW6k5VSVuzzRkDnbPb45Y6ALUX5KRYv8VIzJlt1sI2oSEx2SqbURckOse1u7cYeb
XhXK7tx6Hb2lQ5eJ4hO6eaaNWX+7DDQiHCu+KRcGwY0GfjOd+0da9V/CYURoFgPMxne1JQfpCafW
sxtGgSmN17zAjTSpf4Y+3GkzSWLhcs4zSLSJufXDCw9rBYWnv8r97LLM4nMiqM1KgIdbOSUUeJQQ
uGpnog547AwnvarMau0p01eseU+ayymlc8YkMNKJeASZbLMxu3Hq4gww9oQh8zK01ImdasdFrr3V
rOYzIT8AW83HosujlajcYz2I85yM1oq2zEnz0UYPDdtv2D7Qt/oCofNaiv7NDIsHAiwOBpzGdMiM
gw6FMuhyv8VPyPcQpsU3JjK8YkuEFGfKaV+U4syHx9M4xs8NWISVoRdnMzQu6AG3jZ990bQw8Cof
3kFMl6OwiksHxJBtLz65RVc+QbSXHEohj2t6mZ+0vK+hcWAdDOm+B25RvI5hmG26Ob812vA5B0Aa
WGg7EZnae99brvKyu+6NjErXfhlF8dpZBgRALjqat2mdrPMQFhxIszbXd7Zl760aCFIS5tc9klqQ
e165nbNybZsq18+gG+zER1/ZDxNlRGzfPYmTsifOSwmQUlkWfR/zooGLsVd2xujd2Uh6cLttcr3b
cRxA6qwskLUyQ064ImkbGjcxL1bAd+6cS2WedJSNkjp2elqUtZIUj/yUKrtlxy3YjMqCaSgzJowq
fJnRu0dzUHbN7t25ifQUSq2yc2opxs7/bdPv27TDvPq/b9MPPdz34lcjcPVzP2zTkLcNdmiT+fPH
EbjAD6b0cGr/VoHnf+7TnuKbqYGNKdjI6Rn9uE9/9Fb/jX1aKIDRD/s0olDd1nUYCwaZczbjDdUY
+kGcbSAyK7SqKM5kyR4tnmi69LSkecaXMoWtpR77lOcfd362RU+0xyyzS3hD4l47gJ1Z+7w5pQEG
mjdpbOvXjDcrbBXOsLueFuMq4s1bYkEfVr2MsRu9tLydg3pNBe+rr15c+/0VVi/zwgz3VKgXPM/o
XXjqpa94+/t/LAPFxVMLg6+WiMVl7M6aQXtma7GGxFN1RtgDLsBPn0e1zFSsN57T9Guzx1iRqcWo
FxW7B8uTM8WcmdSSlajFy5m9q47VzGJVs+bpbbaX69b2v+SseuPM6YOezg6gz0k4C1s2K6TDSpmr
JdOPnUfU7eul6j6PsdhyIBxW9NKBHPnexWbdzYuK41J2k47pttaMEH8aSzQKJ21lSO0J7gqn26Ve
66znsQRau7DCW2qpL1X0fKGWf1a+gpfX/zzBHnXYIWzs4jd1c4vgYFuwg8wuYUGOv+2t6Y5QPMDk
KYh49hzLoJ2ca8+DHT6Rv7UVPWkcvtqmEEF+Sdi3arWBFWorM6b0ZlabW8Muh+UFuYDa+Br7gA+P
nZBDBIHvanuM2CdDtWEWauuc++E+njGCqE2VsUq+7thne/4ZYcOxNFNbMHSmnZPo3BvP4Gw0nzha
4ztINRc3Ilt4pTbzmV098arTOIbf7IamFciIB7sSdxqVcECc05WvSoNeFQmxKhcSGd9p1A/0u+0r
R5UUU5M+eGHJ6IMTaVjcFtQeaSk/Rb4OmxbbAYmEmdjXqlTxtRDoazVFgUsdY6mCJnHDIK+SbFtj
SluoeZwl2+n2sM9MK9+U/TRvzLZ/IxymXtuqZNKpnSpqKN+olayDu92oAuvdclxORkseCfl2GuOy
1YKdfAUSpb5eZvnYUK2FdU92ik7NSffSoD71vHXRQ3nKqfP0iuxSg8qPyPrnhEqQPvIdR2HyFVWR
qBmUi4UqHEtVQvpzyZNJVVlTXXpUmZbDqHV2lhu9D7+Fg8YIkYrUr727ngp1tEqaM2F4cJXiwuGh
XyHo3U6qsJWqxDWjDJyRKnvRVAyBtsyvkbWwu6viOOeOrjrq5Q4UP1QQECiqkFYlNSrEXbKYxWbO
7oAGGKruHijA4Ym8dqogn4aHLCeAavIumarYqc7tYFRVvEU5T8Bqueoo8GGvbOP3pkzSjEw1adT0
Dh7Ikt4N3+t8ZHa2qegYrjKMxGtTs99UNyzXtWtYX+Um8eZyQ+frlXDb/Vx3TlAJRaR1E9C3I+Xi
LKueURetARerSdNisAvNyA/QC/HvGXCnjTSmV/z6dzMHjD6jBFllsGPxeGp3DZTWtuCRsEWRHCvX
faxlc9PmDH9JmnijV3J2YdO26SRWmpnbSs5hboUBPFtf5FVo6LuJemJdcMdPTcmHZiI/BH1Xvtgk
gW0r+GVM4z3GjgOauHyO9qEtpj1W1tdGJNXOZ2m0M6CL5MoFcWxfL11M3UI/1aHDvyYR+Z7wunEV
2dWlaXUa0fZDvbBWVsa9ETVmUHEeWWEgfIXYdqxFfDT5cOsxoaft6P2jJhYjwCbYbHIms8wfeaiz
NnwZxPIiu+YOqHu0j3Jtz6SOWBcWOFrN/X3t0RSRRKz0lkZpqiI8R7jJJMTLL8pkNLPKV7F/ZqHb
IZUuKM3bBwSAnzKze5KNZ62JRn6y/UXfGyaOQ103Y0xv6UBAF/42yIrgdqNmxvlsHWSb3pfC2iGw
rNZhxpg4wyFJ5PjWyf0UIWRmrqxaYLQ2Pw3idmyZoD+PycmOrVso6fRCxadUQwRtFXw1ICJFWd2Y
HM6DOjdaQkjFm8FCvzEm/zIkglfb1sK95sykTIol2eRu0iMBsNeVP17R+rsbfHPvTqBAJkBiy2yo
k8UprhglJlH/hKsWMU/THZvuZhAE0Ds0+yM3utizRe1Z+cnObCSAOZk8wRTaMRzExaKx/C+avPZn
V6Pd1RPN0E0pYQaWhXHI49sKi81YR0fEAxq0bCX9Md5lQHNvmXssoW/ka8TXY0nmEnLaAuFQqhRE
xMchJuqahbj4d4URvFyOPERFRF6HLwoOOevXMQSndzYsWZ31RVvAenf2AavzTf4uZerted4tEzDQ
uKZXxObB3KCJtoVjXJv4fliNjgJTJLYYkwG+tqw1aVufErdmhRiIKyVIYB839o1tt9Eet9IbLLg3
Mha/sOXQLyZ8Dfn8uvDctZnpfHT+ja1lVOtsylG1ksPhRHSK9dTEOmmxPETiOZ4KqBSEYm3GJiYI
qK3gay5bMeA49FxxirjZ9ZdOPxp2qKYBew2c3Q2NsbNVc25KaLUFWa4/cvvZxY38rZ7S4wC1Y1s3
061sxS71VFSV5ZbbcgKvMUuOzQmKyRU5389lN8lgyu8dsk5E7jwWfnOZm7RbiSU7jLbYyiS/DLwn
q7aatkZXP7iV/ZXF9dL5YxkQZsicgPajoUnM27WBRIfzpG+0N+92RHcx9qUAV+anxdmFIYAlOO4J
3MvmjZw6nocxytf0iqGri3ZTTAhza0H+YVKZr0sLv51hNwrdlMXZEzcUuc+IV64mN3cxC2gbA3qa
M3ovbC3bYYST1wwn3tw9TSPAL2P8WC9tHUAxuEaY8+BlcNZDepp59eTUxvMYZuwRpfvUmtN1NcGg
Jrgb2rRm1KALo09kLpWMRPLDkhylLa+nKNrWowmaJ/GYmqOUFpp47OvheoGdAz/8S247xyYzcr52
GpOT1+9nOXebchLXBT3eQBQshFq8gx0u1pwk91llXo36cuqlZSGkXGQgFlqxY1FcLBLK11Hnafi5
pbkeYpgxGP1qkH74Ep0Cfm7dMiXwFrlvbc7WUk+/uKR2B97UX9y6tXY+fZVd5LftVdHIGTMfdlfV
+6iicJcRPLLzizGl5gw7Xi4nh5DyIDrtKBK32Im4OiALweyVE57AIJLAzf/hpv/PP4BzynHw349j
ykWxAjr3Kr8l5a+sFPz0vw5l9h+GZRD35HuIjI0fp/FYKTwdmKoNtxVWhJIs/3koc/gdHLS+QyQa
ULofqVbWH4BDlOfJ+ach6u80Tw3z4zQeoxuwEDSAnPx009I/HMr8ydFq4qziG43SZu0MRccDOVsH
MczN50FazO66pqPVKGbNdYMoW1Aoh2PTpqQEZunGB9Cq3xCDbK8BAERsifT7h9tp9Kr5FU2uoaAI
8Nx6E5XekJpIyIiPUXkD70RNSMfNckBKKKN21yE6ie+9jhGZdLoQzI7mUiFgqEgfCsj9jza8KjPI
kSjjaPJgBpk4QbY1bA9ORHmLXYmCK4d696k0BgIg5rQbPtWFr+R2pIfMgV0CfQ3IsSoDlHfexcqG
+sUqmvRFc2pnj9kE6bEx5CFhqEbkrXIvTa6JBvF68icWtNJeIkLIrOahjPQiKKy0v9Y1t7hxRTnc
FSDlmGBkpo2ophz2PYFKNJAbD94mtVfgd37FGgAVeloBAXHcIDVy904z4BYgLCqSPQOg5WthatY6
Jr2qLYNZbxxJ2xMSK1GgttWTVe0NVrdzJF9Iu04mbXjpEpo0m2wIh41NgRSXm9SPw0VsFnNYVPrC
aC2Lv/cjjz821zLauWQH37ZyAP3nl+2tD3iQuT7HhVXe2vEDHd4b3wJPS++cu3kptWjQN1GrMz+K
3jmDsamYg57CD2Z5az5Mfp+jOyJNEYFmqSf5Xn/nqmieYqw0MJMmlIeJPb6J0Yve0Ny7O3pZ4TaH
09usEoVzaTXm1YUm3XXmJe0zCshakvhF+1dgFPlfI+kf8x5e4P++cl2/ld+qr79ctNTK8OeihcwY
ICXvIYHW9IxVp+ZfAx/7D9RFWAkdg/kOTKR/LVo2NgviZhzft969mKrJ9OfEh8BtrMH6u5fM+TsL
liP4Wz50kRycVkiIcHz6LkvTz10kFyGtV5iRdmZj5whD+123l7dwhIeTOWTW9Za+hX2ylXOE7YpA
d3nn03e6Nd1Bo2Zzq9IlTNvHnO4jtVv3rSGfUB2481dHo+0g4pBzgtLspY3S8ZkeZ4d25L9s397B
wQYOqfR++DmnzVBr/lYiBizrTP8aNegDG3Oqt5XSDI496sVB6Qi7ij9rKW0ha4P8XL/rDZXycIkH
5ziW7jFNJTlPyBOdmPl7i2CxN4mom0x9NSgtY65UjTnyRg+Z46z0jgVGJDrNw42ntJCFTKONr/SR
ckacOyvNpMxwzVfIKK3Zh0XMxGdlKo3lAobE7Kb2kpJdw9C2y1+Yosz3hvGU2DgrYNjdgNaN1/AW
b2HVghBG0Ak0mfwV2lojKqo2IcbFQ9Ngd0SXeUoP6iplaAdV/1i+q0WVbhQdhL5p38WkkrYBnXkU
pkMNV4ivRTuTcD5TUftAoCor6BIgfUqjmg3VdLso3WrZ2tnthJS1UppWX6lbw3eha7YsyZY+GCrr
wCpztOJKEiuVOHZ518lOE8ddpC+oZ9MYV+sK72t4D6Ou3g3k84HSZoR+KOUw0BVH1xoKzbtmdYLb
QdjzdSb44fLaaPrwlvX0JY8dolpK8RpJWCAj/P8N3NiXjN1iE3b1d+ZVRdBp0VUecsr00vmcI5sJ
4rn4Hi/OGghDd54RExP5brvg8jwIyCVR7dogDnJo3KNJORsMKdtayvnNLIqdHfM/vkS3MTk9NpVZ
YVuTHtuHs+rMPkxWkoLZvh6cWjvOloua2cqti+O06CEkehO9XWHGCcw2A5WQ5t0VJlrEYzxoBGGP
HAwapzkJm2mAVlWopRSa0lv6nRXnn/MBzJY+GcGM6vo4TsTn5ENkbB079MhypDtY+N9Mrb0SaXFb
9f1jqFnXbe1CETG1+obww/lgKv4qnSmOsHhlCrh8D3oahhvPe+u06ZTk4FZs92qOidR203jX0O0S
aEL4zGfaKVcO/Odl0E6OkVwVMYqCpHfC69JDJFSI2tr2cUQfcIoORFYdZErTrOFL8mKGSmMCciR1
wxVKo9eox5nTieQ8DRVn5ZKpjtYNBQd2cqhEfvA7hzwY+VpID3ZlRr/Q+y6IAe67Yst4eFtnTaAP
bQVwSb+r23Ed1+nBHewTKZcBRFCoIh3UDUQXj16un5n+PVIReZyU/EqgcfTFMfSW73Vj3DlLf3B7
b20VxUZ0k4WxcCK5LgvSYXiN6S0IOWxaWiQE4HiXNivvvMr85me8w0VuvXX+fGdr5AAR+X49N8tW
y+yg5jsGF4M0HucmXJxgIHwLNFDxdZnnB0Dq4DSy9CD7+LJU07kAl41H4BBO1d4tqoCFlAmVo98S
CEcOzhwQenYow34NAXyF2X1Hq3ZP8kBAAu1etNNWcxR5yEy+CmqiXKv3Gmr1LIaZXVfnstY9goGr
nYFvapX20cXsEE8P0X6iTVRU2hUCw+2cJwhAzNWcTUHDK2KCOw2lsbZ9st+6/E3mb1XY35FpxBOp
cyQnimskMxKJWUuyLsU2gUMysEPifmzvvu3Elvk36pjpzp78hzxdzDUpR8iUR31X4MbEDssTSDIB
3aqt5xffZygPrHBbFJhBS8Kf8JD1R218sIx5Py3yWTc6ZnXevRD1sxe3d9Ew3/YFls76rdF1GGqT
sXIt1X+ut21ITFxkb8hXDSIrvrXID6kG646p5XdDI+ZS6iudCJVa1/eaP+y9VtvqcX6fEgPUOcYj
M3LsbfDchVNvQm04tXq/5VW8aX1vS0LY0QpnLthsSAqdmKO366qhyYUS4iu5q8/8VUhOcdjPLeHz
vEkElMS0ycvxtS3boPS0E8klh0VzAeDBxB9kto1JDVnFddiQ8jTDTxfuzuxINOrLzx2Wk7l2D6iF
iQ3A+lF1cl+Cjtenghm/40OMGp5HqT9VMr2rNBqZ9sTYkvQEkJ1R2e3dzuHpdGEKDLcQpE81lCeK
8fs8cffeFJ5DazmUdnEkh+E6rrDAlX2yLXJC90IlRqL/Onq3qfSvLGN6qQX0LgnKxfS9x1AKitb2
XLbOHQYKfeUZ7X2P9XCokQBK5Sh08qvciY45+JfViDZWqoVqqZ7nrDuZ0tnVIEX7bkToMWIvVkVP
iUSqfJT1fDTM6qSZRFARShZ+ieYkv29bewoWsztKnSnQOAYDBiNNS7+hNHxMuwIVE0bple92LzYg
PBOsQVphpEmMb6LQVmXXPOPCO+imcWa9TTa6zHbG2J6cRWFuSJkLFt14iZ223vpW9lDILkciSES4
ZVzSzEuRRdQKNmptcRjtw0zQvNaKTbJUwQDF0Y1GvIKzuc5yBiJxeUEwuUvD6TjhvKw1qH/EgHXS
YU6FqpGxOvrSwd30PQbCWCsDZJ1IsDjb5GwSeKD2g+Z9GwZn2yb6LsKGmujTpqxUI4/mMpisZTsV
5WnuopPsnAd0y+w1XR2ULYN+sP4khWnH0rR51tGM0e+QRnXIte56QWvTyvpr7ymIGQHbYT5dDzbi
vEJn+/uhpL38w1T7IwHzP+eMDlQcU6BhVVycjzCabpRS9kmpnfUCEW22qhgOIEb7/UUUIevffl41
zFQXEYahW7hFsAr/XIai/9YFEnztPHlfJELU/mWqsE+sC4wqv7/SrwreH6/0gdVVhdVsEJOinU3v
JraZu7vGZlkOFe3k/nNSieD3l/vl3eNtwqWMqgDt9c8fzERX69Fgiy6D9rnrT030tcy//v4Sv/pE
VMsUy6opYn90AIQCq5EP3Pcy2EE67vp53uREoRURwxwSNbqb31/uF58I4zeHFjopyMPEhxOD0mKb
s94lFyg1q8RqcFHv6uwvPtPPSIr35+Gni3xAUrSh1jki5CIpvZJOXnECX///fQz1MX8Ynw/dgpYG
s9cF7bmAUZdVDyE69t9f5GfQzX9+jA/ffp2BuRmKNrlMmrViBuInFyIFWOBeHFRi7dns27+44q++
HTwQ+NccBAjiI3YpS+jjlKmRXNzmttEjpiEHN/z++0/1q2tYQsdebfEckNn2860LCS8V3iDTS9nG
YNrxj1XBmD/+/iK/unUExQE0J1vJNf0PF6lIO3aTZEr5fl5KcRVzUkxZDPzwPu1PNqL0Mbz9/RXV
M/VhDWKJ+/cVP3xZMeFjsjZmvB4TXLT2yaKA+v0VlNf4h0s4Orxkw7WhlyLZELyvHxYf8lHiLJ6M
4pJeyUN3YPO8xuC5cW7jOydg8Ln1Am37+2v+fMl/PII/fqoPl8TFU0xdPaSXQYC7Q8Rm+iwK1f73
V/n1vUMxSgeWJ+9drPLD28TAUbgdTL9L2DCGRdbvdX9x79Td//jt4MHiafN9oGIfH+waIBROJyDi
Lkff2TOpNj8nNmmjafoXn+VXd+zHK31Y4LB+VhJtXHoxnLfYu3XC+2b5i+Xt15eAvgWrgTfJ/fCo
JUY2ePYSZZeyPDv9xMzRXJm9+Iut7levEA/bv67y4avP5BB3c8RVkuwr097Q0jbS3jpZH2TdRcvg
EPzFd/QfH8sESAQ/CLu6inqxP0iHTT9kNuhW+aUbdtAcRrFplru/+aB9uAS9tB+X7XKIuKFxk1/I
WV8ZGjKJ1PmL2/Yfz/L7JZRvT6fgoc/28yXSaSq0nJPWpc2/assBYcxfXOA/HmUuwMzU4T2h8Qbl
7+cLsHS6o1EuxYU6r+gx36WHJKUw9d/e79X/+DYO3/p/78o+yKRMupn+K9t3Nx++/d9/jqHUj/3Q
k2UJJk/AVm1XIIs/9GStPwSGz/fxktLv/XOKZBt/UPGw9BgMFJVJmOfmz4as/we/rjNHopELkx5Q
w9+Q9jH7+Gmtw9PJ6YYkQd30+T/lPf35AdEYb4imaYtLadS2fd2+N6jmPtHpVlnvratpGgbmKW79
tRlo7FRYrggquUfjgNnQ/TIPEK3qPqKJVxB0BH8UTGu+7m33Ru/A0mik8a4qdKtIqPyBs/4cb81a
9JxiAW9qISRX1o4gDatzCzZVE0BFHX/8ZtdatYkRWfQ+OqPKS06TvRANhl9UJWZLvXLWFWlIN3GH
yasL+T2SNr9pFb1f2csvA6HNS5HNO7aRL9qEOG7sOPpP0d51OzTZGfz5LCZ6rhlfcCo+5uiBgzQz
7i2ne44ArO0QSnjYzy1xjlinNxSRHeKiTCJjil5ddwG77GDO9vCBJ4l5rshUpvFi3uuGqwLpk1ua
wMdCd97sDs+Q5FSPR8qGpR1IDdSfZ56k3/Gn/X2hy+feSg7V1AvSqqPnqhXPfvrFGqs1SMOvre9/
lWZ7lkvy5FTT18z2yImzmFKjTbkQD4dowhn3BYHHtGRRCS1aj0c8S+7bxLrpa+1msZowSHXW/tnM
mWE3XnFIDRYFx0ANN+r2RTX7Tg2a4JWjxYwLMcylsYh2qdaLbRPl1zFiJnT+0yPGhyPYCKD4bgdS
FqkFXdRzPZOiNmcgNWRdmru5G8F3pczGkz4O6jn3dpkby3WqF8NGDOG0cXp65EbO77qE3Mlo/BR6
LlOl/iL0/qxjHwuYIDU7aZckk5gAd7LsYDoRVIgOeIE9LjPOOnkoNPj50tTCHS9aGIzVcGJke0Pz
mMFlh55Ik3dicC5jpB+i1CVM0Ex3dlqhZUfurcAN2SIeO0QcehF9aqvujZJXC7KFtBanR9k6YP3f
ev3yjBioXkdmfWTvedJ6Cuq8HR81n3M0P8ooM9eajTVk97NmzhtOnojdjOp70WpFkFT1tT3758ym
+d7Nk7nyqhFz4zBuJg9RKj7KiHdFerQhErpqmb8fOzSYmSWn1y7EMKq3dbi2JJQ5K0uf+myNh+3R
6pA8eH5CEIABXxJXQOARmE0Dnu6/M8p6PxlmGFiVfprr8dpGJ7Qu0gSqI3ZrMGfxZi6bBZ9rcZOU
iD5oGyN2tSykKdGieo2v2dTo6lm7t62jNn/PdGBWWiTvKrfdoAdMwWi6G8+uPunC/c5ujbTWtb/L
RX/xW/8KmOZNPc/3JurnFaLAGDpVjPC9QBrWt685iBdMlQfGqEe795WokDk0z15KYrwdSG/+brby
c6T1p7HqbvNau0bag9i+JJo0m64tf5gCQ8cD6JSqDd5n+qoHdgB4uPteazjUc8AZ63xyXxOqBKCE
OnIaLaMqnYDPjJ44dopT0zJBQq5oP7PqQgGfJQyaXHztgPmsIIIlCMy8U6vJiYlS32/jZTiiIxqw
a0R3Ip5e08SJVrWd2SpvjdTOqDOC1oadw5GliRNcJfF036EyDqa03OQTcc9NRpxPWTqSl67ilfDE
dU6s0aaawpsqt8ib7MMpcLXoHhAOcxT/noyFvTXhFRalAt3NOcLQ+iaKjGaLWCV/liPiu3AcrjQs
YUyv1YvtpE/oFBiODSPKbH+0g8iMv0xlxbjNxhc5lkcW9LvZroZ9Q/kOLKe/re3BXCWqO0fe1w7R
F4Z7TPIrR3Bw9cpjHKJ9JMf1isSH28SxS6b5SAsSi3Yo9ewGwxA/Owz3jkg9eCf9l7ZCgOrXksZ+
acaBSBstiBbtO1BZ9otYJjtSjm/LufoiLN7tJidwyi4QquUof1CuLuWN3vj2SlbNM/KBMOg81HXF
jGzSMhnxxajk1xVrtlOXOo5uvdvSOv3S+8lTVfMgjSGWjC5Cy8pXvmK7k8FoQUrpAMxsIc9xT1Hu
HSyLpNjILhCU2RkvjUOolT080mm9HdkTSRfyKm4MijPHhR2TazOPm6cSw1J+zcuH5KrWlnFNxtX1
rFkVcgsXJbEOwEfLxCOgx52kv+dUziWN6rcJ+QDTyfRZCFqRo0QNLvryysBkRUrScs3+j9zALffw
Ew5dXtM5n81+k3l69dzkaX5ol+aREV+zzkvrSZvtM0XKt7HJcQmlj2z2+gmZNRZgzz+0SXSGt/jg
L9ne0ujVujHmoLxH3TrbhIBBf4N7Tud9sEf+KQqZ4Lpfk6lCVSdxlzawCrZz5d0ZYdFsQOFgdFmm
clPXiDnAs4UHXc6vQuNh6MgBgcHvPUylm628UDsmUfQK5gQAu4b0Oq13VVPx8259wdBsrBDqRxto
PF/rdLK3TIZfbB0BbdqIi96LT5UtwJzk036JrO+pPrqssQbzKsK9N95Uxlvh5j2DIgB1Oh23DT0J
8meT2Scs3XgR7XDjI4HdLDVfrNRYtePZitapO494ZtNXALzXWTLGzDFD8iqGmjCBnFvdSfjsNj5C
izTfXs/2aQSNIfGQIOsdzMrGVPZdNG8b4Xu0lVGvN14ktwO6HSRyw7BGvx5UGYeH+f+xdx7bcRvt
Fn0iaBVSAZh2bjZzpiZYpEQiZxTS099dtGXL/m2v5Tv2xAPRLbbIRtUXztnHkE/EIJiEB6MrKRrj
Pm7HhzYAMlQmwF/G/JxtNhAsRS9LpGFDdmN810uv2YZ5D79JQfsVwYNTKtxfRGHZXU9qXW0oUhh4
nuyh300R3BcrK48GlZOW1wgmzt1bjdl7srjP+WlxhUD5lYJ82SZ5H2v02rX8kMK4N2yfS6BAh5cF
2YcHP39j5da3YW5PATc5dn/3Wzd4e+Q07aaMzDNM1OUmWBgDTjJ7ioqiWzdTa619BVaKOJYofCMV
7JzCwFmBOgemo9Kz2m0JmFBpegmx/xg2KJZ9P3uJUPBgTUzvTTyIq1oZt14RQEYGKuYE49NEzcVy
fyGNnmXBtiGYYj27SFaKrOGfwy6a7XaLZ79yTn5TXfs++vnMY0HEc/chLQ8u4+iBs8nsnRjUcz1o
7FNrwpwqWza99oUtE5SCLvp6ldV3MuF35HqmTXk5cU635cXktCUGaegIfv+NNIlubSb9UzN98qDE
w5InZ9Oc31uOUWzGjiPVE2/DsPDhH1nUByzXyUNR53XX7kox+Ssxdz3Hoaj41KbvAbVxPEj0l1P5
vhTtGQkXLGDb5WhZ5TMKzA3AjYd6qLN1R5XnZRx9aGHVOg5Gb0/SJ29SeXsxtR8ypqTzqgllFDXf
kJqYOtJnxcY8DMNNnJWvoZ+9pb26cpwG4m5vbqJi2oVDyU1pNwe2PyTTmdvJ1fDKprqbOoKinOAY
uMamYebSL/Z6Zjqymm04tmG+TdrhvJ2qo0pAVrpisM661ETwGHlWdpOXi3yeq0T6l43hDvyBy3yI
ECeJu4Xt93896KcyiOiyf+hBz1+77v2vYnR51Y8W1KRrxFLBjNZmJ2v+oQWl19R/TDimxCbuWT93
odQ3zIwYJkJxt7WY6PculImF5G8EQQjJnYyDf9GFfmopf5q40YWSOGI5/JdxhXBQXP6xC0VcOxnQ
18crBG8dro4hRHesvGAmUSuJt7kVnvoli+ztzMI9ezSVaUAMEn7SH+slIZMKv0F23s3BuGxTYgyB
8ox1iTyN50+63yY5cgpwgYbLlioA8Uo0tYdJmlHwEYjC7O/mruPhROoOUDic0dyh/UZrwSbd0Em1
jUSEUyPMGUEmLJUJNchTlKlb9EztsnU8swB+4hOe0avM3HNbUDi1Q+S4D7lp4PfyUAglllkTHy0d
UkEB5hwme1bpx2j70y5ia4xMLyIxdAvUVhzibIrO8B3lb0lYyk0AIcNguzsPWyNv4TgX3I8BA156
Fuwz+PPct8HtYgDUhb3vxcw96zaRs3fn+EOOhrMqSv8DhqJDpj1wVa/ma7WB+csYVEukVTWe4qju
Tr7GtUUJUqa8R3aftwYoeI9r3DL7rN0UFqV2Cy6FRthEbzkn4kDgOITDcCxfTT9fkK9X0VndGjl+
BTTl7NuDvV+X75m3uHuELhHL6cHZ02exVCU2DoyNl24dV+XXmeCeo8wjYokCtGiaEdUURsPIt9/j
zqgObotIUQ00sEXkgJyoMA0LabzVWRgd5JKrNdw+Kta2/fDw+O5rC/iiV6QDfKc2wg3SWxyYVdGd
sXtMcQPF6QXvGSBUJauzbByQqqR0O55LseuN800QhO5+DDBudSp2kSUU2dZuHfQmCslmubS8Td9+
zkssJFEDeoYAE7KKRthDEK7wbtRsD1Rlp3szl81NNDcmFIKxv/E4N1dYPxpzjdojO3aVBcxJBNO2
Q+NDUTjV28n01KorOoqAqcwOJlaKNWnMxS8z6P9Gd3qa+veju2ssC6/d/07u9Kt+HJuaP40okvgK
dgp/mtyZXwhf4tBkfKSh1ZyNP4Z34gsnGIFiDtBWgmT05uX3YxPlowWGH3cXRyvUjX9xbDIk/p/h
HY5DC9Y1QH/QcH8eghNAVZZoTMwrNyf790BIK2FyfpNdYMZdO0t3g8vnKezoupo+349R8EQIW7cq
9NirivZBmAOczqaHtq8h7lTtjcS1EDgCGCA8mWI62lO3WRScQOOliqKzMNqh57oy0wB2GWSwtXR1
lLmJGzXrJMGQ8/I912Hcs67ZkJy9cJ4Ch7ANYpTG/mWpigMevmhju8N1Mvb2Fk9bwtfFaRkwzzEM
vXAEHZry8sfSUIiKW/Ge1N3HuFjffSKGNpXKYqY9013hTyP5xjj0Z+OpXRy5Ittxk2JPREgVXJZy
nk+Gk91KExLOVGKPn8J0w0KJ/zHsPtxQOfyP3bd2MDfoR6wNiB8yMkLApkVM9t9S2d9E9uzO13FH
OlhHYjTzlIPU6+HQ69vNaI+zQ4IB8hpQk7YN9IKBKW4zuw9ezQQ42TaZSJGOyyFeB/oJZt2jfXLI
23v9fAutrERAzzNvgXIT+hywrYEaWerTYdbnBJ5nTowlb28GfYrgeGmYr3CyWHpS1+nTJtbnTqFP
oKKRz5U+k0aCIreOPqeqCuRcr8+uSZ9ioT7PpD7Z+Gzi2danXcqxF+vzj0QPunjsfRehPh3HQHVn
MVqS/aTPzhKqVrdp9IlqxHa4NzP1YenTtmEwuG70CWxyFA/EYq0QJmuTF+e02VDKJvrsdoR8D/Rp
rsAjbUt9wrcc9bk+8ys3za99O8q25ueNYMwJTtnS2Tv6vsiGzt37cfNe6LsEWx3EKX2/MIGNzvjJ
LXjPuX188lRWlr6RQsGyrtO3VKnvK/vz6gIIB8Bc32f1jJqgAqbB2IcrE59Pexr1DRiN3IVBjKAB
NZy9r3uJlxf3D1gz9wPJo4OYM0YZ5tj77vOKFfq2TQMiEFr4jG+iQFWDCpm5i76fMTMya2CYAg5X
X9+pvsnTUnGn69u9TS0QXQsW+G38ef1PuhIIuMvTD8zg8wHNv3VTmQ3doE/CKCNu0Z7sOlm3YrrP
DTMC/Je7qxIT+K7Km0dwK9FaLCHa4WCsth3RB+7QvRhR85RX5UJ9EozbuFhQPxdEQaeCmsib00ez
rK5TyOxf5wC9rRVH8fmsfJSrNaT1BVRy2eP9JRxxjQK7OQZKvsf58FWJcDdGPoCYwPgY014bupIX
20jPcid/1iXX3u4Muc6LVh8iwQU/iqPKgo+K59RQfC76wr+HbH3dmPFZDahqVbbVJTu/bwAPnobc
AC3bTrQcrX9E53molu6uW4KHJpbhVvQAUBvVElg+wzoPk3lvW0u6Tku6KR+p0xh1zA/j20igovIi
TOiKDufkiuUV17uuDK1DUsVnmYcbwh4vjMluNjO7GJ6UpF2xFwHckeTI9cogeUv9svwqsz49RPaQ
ECIKi3aiVDmTSCNWjqxAKLrFW9CRVVcIVW6l3VxXo3Enu27cp1mWnEWl4lGuSKbK5tHnLRk9Kl0k
kPXEmRRWY3RTmMy4Oh6Xm88iZxE0ba3+pn3txtsUFuaeKXBym0dtvfGtbsAL3qp9l0oUye4U7GvH
xFGaxr6WcOacMN681yDubcgiYIO5zMH2g6VMtu5HN0cLk6rlOPfplSibE56YczbExdYehQW+Eduy
Lepwl6Et38U0Avs8DBF7kiN+sOTk6sS2VRJDiw7Zf+wtW3OAUt5tXPDUWiNzOeZSWEviXHNFOKUE
6J89OProxm0H98AEikSD1JR7I6WUTYtpXDURmKCyoFDlmPo12vC/Ukdrvf6+1Ll8rV//t9DRr/mt
0LG+CGkCmAUzEjgobX5aUVrkcmMlYYGJ2w0VwW+Fju1/oeywbN9Di8FQUreOPwod/wthGQFfsX9N
IvpXhY7grf2xP0S0SoNoYlwIMJDaWg3wk+ajZWJL8Iy1XNV1h/zS6hkFB3xkand+MNNmH8b+N2dk
EAoq4Q2SAUgkPlpick6dG+bM2o2HYGhgZ8wX7oIo0kUiTjBWvxJRciVhcM6hfy3yiHmJqaxtg/w4
m4KL0XbPq6La+1FwUKl1lQpWkT6t5rqN9PklxzvpVmrX2+a7IUu6J0yi2eBEF55eYxr0JSu/cbez
pQGSBppmlnzCHb11bfmPANuvOyu/cgOmv6otB4SzQw4ecN6HUwZu3w1u8jS6i8ZsXbrare/i5Ijy
Smzm3nkfqyi9WBZVv5Y932d2hz0G8Ghtw8c1pHkoDJzQ9KjthgSweNsHTMVRjddnigScrVWPJagy
L9hkccOUyMWPnb9FhIrqvDQoWd1eNS3K0IqI2GkB9+kJUqLH7ACZbTtFfQAMId60Tm4eyb4+2YIh
mAkJNyzngBRWUbPDgkGbkRccjPKuMRO5m/22XxvAKUhdbZ0rP5fHclQCrgnzPrdz8yOl7qXMbLwh
Zb/u+vBrF/n3KRvOY2LYB2cO3xkglIDVJ2wAsth0bgqFsQJdZjjOoYrDDipJIe5nH1m2N7nHooTu
6kT1LTCkA94Sbx27WAUirIFrStgQzcXAGlLQWNZpwGIJruYS48tvQs4gto3f4Fwgg27MAZ/IYt0G
jemjps62sQt5ESZyvDF6U7BK0dEHuU5ByAA7HqVORoh8hq2j4WfHmtiESecnDI5DsLflpfue/UJz
aLuoCu98VtBnpoy/R4TAbH3Wf2dLHYPoyttj20T3nWAWwdj54Bh1vy56yfWu3O3glxt/KKtT6bcX
XVd8VBPIDWcZT2Ianutu9ujHk0dlNVRhxE+sh7B+hu4ltqQBnKtyOi8KofdsKThVH54xXUE/uhfl
4vNIGI/9aIo1m9YD9k/edeRceV20V0RfuUlK8IJDMnGQdfvUs85zyeZdBP3XpQ6vBpE9BFOM6ATs
SmQ17n4Ao4lrskm2bVp1uyQuXwOREbPCKjyP4i2N2EWZB4deB0yNnvGdO/0BBCtJX0bE5WCJ73ZS
Pw6ZvzEgoFFxWebr0LosDowXePMUXb1PxAl4DHOW2Y3MnK+036fO9L57S3ea3fpyMR1s/Qt3bOVe
TVVlXZRtQWpEw8oOx7+NI59kYQGKI74dIsH2NZlBy99nxtaZ/VOdwOsfiOQM46QF12/cJ4NHiHqW
32BDM9ZW1b7URg+PT4VrNq3XsYvNifXbxh7BMLPcMwx5WLQnDY8s5pQWPXWbMZeIgwuQ+5hTsisg
DGvl8Fu3UJsP6BX2WbF8DSQj/p61lfQP+EpJvjXSaN0Pzbkal2NQJ28YkZg8mCagtzFY1Ul61+fu
W9DiKlATZW7ZeI+UHNjqi5CHmNn2yo77bdFwFhIikU/7rrTm4hcF7383rkVX/w837vvw+v2v7lxe
9dudq12XqN0RBQGLYQD7051rfrHQ9iB6hrblMGf9/c4lEcYiqNUjOlYbz82f7tyAv88F5QkLHpsn
cqJ/M1uwtWLvdxEkI1lPe9sZVei5seRd/PHKJV66tl3K6qukvLZnj6sjnEcEFcHDtFj0rTNx2YFV
nvtLfuvPzttc5wbr6sVcjTGNH+xgAH19cNZl5LcJu1pPhnxjZHmRq+Bx0YvLsfxQyFQaA51Egk45
r4uatb8kA5DkO2EV59gnMG6EQ4BEw74cRYN/h6jgVSOzR+LsFjA1pDOYuGEsbvNVZbnPWc7HfF7e
mJ2Wv6goGvWQJf01zeZl4lN/oie8Kxh6VBCdLsOhP6vGAae10Z1MP2VBX4KwnSr+zQvTBJt5ijoq
P94FElp96sLyiI0nRReG/WyF+vYyJ998cWI4Up4XbsOyQ+Q/qg1MnF3jYxWFw7LCTf8dcMtVl5mS
8Woz3y2sipIhJN297ljHsch2Uzvh4nbAdJcG9nzDfSkWwujlGHpQtEV+5lVJsGmIO9wYU6iHtunG
H4cNExd3E8xUJmOw0O2qO4mla7u07qNGamfrKGmdu4CBdQ+q3AVbtZpoS5YHcxzpmLCQNkRHNL1g
0J6iVL+c5ijVo+8odzZhxVCgYbHtSyI6OuRUehE7DnJLmFW0In9kPwlnWH+m+YSYohyPvSJuyfea
jJ9cdMEK/TtpiFRrqPlH+mP10NNMJdjFQpgdTo7MxumOs1KnqYUsL9PyUFnC2MYZ/YXpDReBdq9n
s32KY/E0O/KsqNmFFS6MI9NtHpwCm1fhcMMPq7Eej8qa9rR44SFxQ3tlJOEB8Xi1jhr7BBfHXAUG
LqnZgGW1FP6jMWAflI2xGwML0zFSN7DkbK3H4xIwxBJVTZxIxLJzoF+Dm7pPkthbCW8hUCPc2QrL
jcEooW3V45LnT7lrfVS2HqSkzbPwq3NyCB5wb70wDbie4iwh49U/ZOXy3LUs3UQVH8Ip9dag+YGV
9GeF8vg0p8vzgD+xNJvXnlmI51qnIE02ZlK/SOZmm9AmEzujaWNCn99zXTzEaNHYnQJwEV52wkC8
rRdgKr330oCWRBEnL9rau11iZy9s6OIIffZMnNaFUl9dP7q1oEl5ZnmFZ+ZqqgW7c7lY55CpgcjK
8pwYkksGd7us/J5lpNkNYHO6MdxXyahRSo5WXxBAIN2NL0L+hAkU37t7XlQ3rUNpvRYh23JXZGQy
duxR84hQl2G+hw9Q0RTn5CO13j3MX1a44mXx44s8mG5si/wXAb0naILvYSEOACH4GDGEGFTBBzDU
lsFpG6YWuVEOcJ3BvOdj/Oz1TKnMsLrsE3xngf09AKW2TQ2oCOHIFKgznXUYWR6o79Jd5TIOVn7f
misXXND1nAW3GUC7VTzXzTEciEYn3wf6rgzeprB/zfLmOjRbMso9N9x0owjXxdwElDXuqUa1dL3Y
/t6Yq7i8ITU0vatL81s4wxyHwPGwVNW5vURvZmmewV2YD0UYGNs+s5AxRuiQ6rjDZQlAFLDfe1V7
y1ZBOWUIUGsnbsPFTrrBSqK84yxCpRA67flieqfeMs8SZR7juL9tI1SJYoQEsjiXkzJOVcG/Msma
Td3HYuUuhrNBq71J4wK1mOdsPm+6/658C23s31/5F9VfAWX0a35c+JoaAwABMbaFIdbSpJofbAb2
sxLEjECMy1L1cz/6AygDgIHdKIotwl88G9H7702294XGnERf0l0Ck5f9Oxp3oM0Gf7jxfYjfpFxa
VBwerh799Z+a7G5hPq1QPF5GdrmcN9QFNXogBq8O9000LMtqCZU1UB0z0dn4fehVwAUKGiaVpJ9m
apFf+Fo6jHU24ntEaz0mdbDGKifFYtprhaG9jG4+UawzoXoaFbEUm0VEKCfQbBhBfeycVkOgYIpO
N+T9guqPjSraeTrgUU3lkyUQYtnkcPSap911xEE2gwAYmZCRRMpmtwuVuE8R9bQl81uCrVnoittS
B0yaJsPBiszJuipOZROem2RRzkzUVlym4QotExP2I/xl2umIXW2ioywzHWqJgpD0Bx10qXTk5TAt
T4UXXCM9hMIYccso1EfoN2o6ICIzx8I/00ovS4dpJmp47nH0r8isOhWJcPFTz9edjuAc5SDXUsdy
clT0a9tbpk3G2Jl4N+I7Z5fRJSCirXDVvEkVauqRtE/DmU4kKUDqh80A3cb8Pk11haKi26Wi4dZD
+lKQHpr6xIiST/aoXBJL0gb4nMKQMejgUbYbdwacz0ZHkoYZR5gWS4ZtWB/xDUWryakuU6u6ZQfL
OYckipTTGO3iaoAMjb55OzPGdpCUrtoY9bUN7SLPCCd3jPUAZM4BNtdq6hzSPZLCNImuzats52s6
nWH3F4Xm1WWaXAd8cW9G0ZOCbo4zDrqdrTl3hoyuJ69NVk7Qr82mPxsUQuNGtE+RBuUtmXuaIef1
0bSVEyi9dDK5VdPbqBzOE9feZBq6JzV+L9Qgvloj+VoQaGsBpU9oXJ/f2O+VBviZGuXnwvRzNdwv
hvJX2tkDm6LHgjlxVTdXRlxj0NacQOeTGAg6MM2Lx9FjJsM2Qgn7RWi4oAdreRjzuylzwQyBH5Ta
xR9/Igk1nHDRmMK6xjFva3RhPI5PpQeWMoVqOEE3NKEcOh33K6KCPSHQV2nnIgpmFO/2hF/gHSfH
Z1wrLyOVFXpiBR6O+lLdhSlioyoFsVjN0THS0MUG+qKCwgiD4GujsYzABlNocKAa08Ex4Ymqh0Fj
HE02PpsKsqNhVGfCC15p/pk1RMAfLSiQOP921I/3NXRIJI3Xo0hoA+BG0j34Gz8WRMRMxmUEWzLx
amNtQ5uckhwiiVfuCQ58LaJlOhAxeFAaUWnEwCpLja20NcCyh2SZaqTlrKuuXGMuAzETOQT5MtII
zERmu2IEihlqPCZGBobXEDPzbr4yIWi2GqVZwdSsYWviro/PWo3blOb0niXBbeqwh5E2ACZTwzm7
Zf4YB/jw7KbKDRWAs2a1AhK/A+tJPFCFu5nqOYSczxBS04BRrlV1gp5prty1Q7GWRdOrjCGH9lLP
wWQA9Lu5YCf0nsGF2ABjZTSpY2Rc8mQWcmVa8mWiCrjoUr2Un8EzcXP0dBRNjcReUKETJmMgt1QS
CILlHCMUGqtFh9mYVnphkm4zY7lgSH8ipRh7fXgq8vQY981dGDcfvY7HIdzpfCYvRxr1fa0DdOwZ
YLjQoToB5yJnIy571nFb4ob1NqJ6KivCeLyRWJ6c9bCrg3pGHdmTDONjoEN8VMX6bNDBPsQVvkw6
6mdiCJgpxnVIHhjqTRZ5TCQDWeP72AIbI+oz2Zazc4pl8TLN/ETNAHbA2FvbcKgeP2PuWAg9ogN6
jyOapznzsObbAAq66ltgOV+XVnwMJh8GGPD3dcsvbHSQ4bl533FElPRThXeN/HtL2J2JCH00SMYb
LuFw3PJPBdsTXy3ECu5cp/EJGDCs1UIMFmYaoFy+OKqK6puYu+nojO6dVYfPsRcs+zZP3osRRWzo
jHRqmL0OXTY82CVoL/zOC4CQdmCa+F+V9ClW03OMv6+SrtrXMsJb9me/lH7VT3USv1aLv83zf9VP
/FYnsVfQnlZmILCTHfnTMsL+ElC3uNjSff+XrLvflhH2F4RtWtzGX+uyw7D+zWTE1HXaH+oklhqs
NVBhCT6U5Ooh/fi5TmpQFCSjJ8ILAr2QTSx5RiIpkU0nA6vEqfQ6ds6GmNVXJ43PknB+Qfm7rGsv
/QZa2dwYIwsA0h9yjDCNLVKiGhrEPmnCQI/KqnokU0TOKJlEh/SdJgQiTiJZ6td2++rkYfLes3ol
mbR0deIj09JyqgAqTUCDKcSaLTw9K1jnrUPsVZtCseHSDRjTcv6FKmCWktQS8JI7aSBW+2H40UTn
w6HjJuGwii1aLR+Fp9RXm2EzFIcgxD59RgQQtxA6lHlVLxWbFcH6Ybwx7eU8HgLt+Tx3qvxoRvFx
SsJl7coWqhM7gXXVDbAu4dOd12i5RW1cp3RGt3Xon1Ce0PJHDGugZZJd1FXt2jLGbDtLJIAtGrWN
16irqe+ujAzp7BgheZgdZixVxTabMhPyHehMKh17bj8yu79LcnHHtqtw10Pel9dGky0XtsM10tS7
CITxM4l7a6/31yhjClgW4NntiszYLkrXVu2xuqx8XCSKmYpd3BnSHXdAa/uV14CnaRkYc1+hioVY
htJwWoWLJzeWWcZXQwQyO6mxOtjUYv1kVLdyJMQX9jmFcIt3TaFvtlgyJcYFQWu7QZoJWpnaeegC
E/hLBhuK7m/HJipBrlisJ7W0gN69+gW9Chsn02CLg6qB3XY3t+n+p0fx+pdS/x/wGyTxeOApAbeR
RWAhs/mzG1XEo8gCAnMtEdc7Ox+t13jm5zSSZvErG+O/LlErwf7+/LtNhve2S77/xRGoX/jbEeiQ
7aA5Hr6gI9PhTL+dgN4XyfCXeSznD3vXn0bD8P0Qm3HMsSYlGYK0z59OQDzAvu/zsXdpPAH8/YvZ
8CcP4edG0YP8wQGMPV7iXmV2/ccDMLZKCEHKpsOqmqb2zg2MMEjhEY51hdgETppdBcqyM/DCIUaN
ZFTLzqRah6bek1UCbCu/UlVjIJOZjKPrlvaFyox5g1+hPDEQKe5mm/A4NTn1Ofbb6lsf9eOZVYzZ
nWOORNRUaVCu+8l7D62ErZ/jhzszbWF5eZD/vsaCkxthK8VNO9Y0EPk+s8xxs+QlKlmeuQ/DTpZb
q5OJAqNEHGU546ITfsCjJpvNZKUWcPMU017sZddFocJ7C9nXLUZKKKcidTOQp7mn+acs6cJm1XIn
AUY1vRJ34MpRdIWMt7jJ8Fyg9YCn6mq0atuaPuOySiNXgXxCX4VSlW4LN2nSByPVfNZmyGC1TpZs
Wlw4muHqDtAHKLvso6MRrwuCwI23MNGDe+T3dbMx9T0ghjZwT4O+IqCxc1sU+uIQn3eI0ej7ZE5K
24Z33aXHOUbtuKkW53YxcXUcLH0tVdxPfZqjxJFwni5cIIpHv/GT4XZJ2ffNrVui/Y/5YI4XRZDP
pfHL6fPfiWDxIP79iXCdv357b/+iIuJVP44DrUMV1MVSSq3D1w/9j/PAQofqO+yJJElfrraD/9Ch
2sEX4EO2HjUF8Iz0eOi380APlRBowAOFqoOy9V8FA6OB+lNFxK7I1cQhVk+WpSkqfzwQhnlkAcsH
46qfhgznVPZUDfOtVw1EKwbRVWE26Tcu3RKrp31PK8HSwTZYenvjhxGLnSXRIi62saD0brZkNvlA
MpEvJW341kZs66fcIzFNlbc8yxELnCrcj0N4QUhwuYlr7w3v9J0clqeYxfjaymlfrBpnUhUXh8yr
z2wtGik83RcF5W7JrTu+1wY7uFq1NA20XrMJsE6la57Kiz7DaCVNNqZZ9D3t/AunDW+EM13FZNRX
HsMpBtc3FqfMDk0ukwdn0A6rChmrJVeehYgJKpeeL6PGb9Z2oyjxHAuDX20eCLoodkFfdZDGen+r
5tre2lm4l8xCyOUoKKNq5x5f+GpAWatse6tovNE7AvFJivm4mKmz7ksEXnTHj27wnaCTDXJYvfw/
84b+WYklWdcpOEwC4IeVmtmLyYGQTnea3wdRHQfTw41Ankog4sfIpOzTgQC5T4aMwwSN9TjLfg9Y
qHep5QpR1T6CEn5Taj55VbY3smUjgVY2nXlUYXZjcVQTtyZvfX5CYYLw3ajImMzzy9YJbmUi3rJp
waAhAsbrwlwwjY8PheW8pH5wSbU1ssQunV2tTFhFk3ciA+ueeGSA7Yt4TIY0R6hHzqsdPtRTe4k5
7BS1WbDq8vwdnPvXaTDua1udT/F02wdyhxvgWRnpN8Y0bOcIwVy3NSaBJa/8rdU1Hx5eZKEwcTRO
cMGv6XzElkiVvAmdD7N2t6Gl03W5r2qv6nDhEfwcg0/Uvk8Refsl9dxVW1Zf7VLisermNdGZr44a
+Xwh1MSWUGbsu6pzSNSkqSxPQWsXBIHBVczlmZLzoZL998Fw4OLE9r2LmCKiGGSw2jBLHLEtZgQO
IwVAUWrM6caIIYjOtq+P8uwx7fkhLSwHVy7rnpVTWLe9rLdBXYBaLNpgi+kbczpouUtLVY9T95I3
R5tn7qVAYVTNRMLGETUmOb/MSub4Zh7b4BhmOizD66a9MwAnFQqTsGrMlBEfsuHEqD/Q2PTBOfKq
npVGHKbztsd7tzwMn7tEF9o+W74I5fBdGdps5oyI6AYc9iAT1B0QJKSnbCcJMmFNqfeVPpY2rwz2
jA9ZZeJW2kB+y8+S2vG2BXDBbT3aL9XgptDSeNzymI80wclyFSPQwJdMxk9SbCI/mO58xJOrKo6v
pnj5rqtx+Lf+JmH3KtjBqqygUZjMcFsSeAGcOtrlnnc5Odhg2OAuwn9K2OjGvhsiA8ZI2vdHDJ6a
wopnvLoGRrCr9d5vYTuMkZhWjH2xE5fRZc4GOXPkHT9dc48Q9LJL2e+xaw5w7rc2zIIoHN866TxW
lf1cCC9fWeypUx290hB3tIP18ujGeh69oPjwbfNy1IvuUq+8szjHOU/MI/t/5nYp6PXeRVrCotxq
IOvY2cfMBr1Ovce6SfCNO29tB1lQFN6VZOcuVSVWThPbK5t1MVUXIhsRmm9iSm99dvb88ljep8uI
dsV7wKo68oTYvQ50IAnDjzZS74iQBiCtZm1U9TxMM4+ex0Kpi61jpzdMCasmZtKsW80zkBenUPXn
cJxhG+rtVD5iaAwHwr3tpMBG7fnpxinMZRuy2DJ0bE8VNOmux6LN3B0Ovd6D4SOeDxarsSUKX425
OI9ZmRl6d2ZO8zcC5NO7mczjdTuOh7rDalwASN54UfNtrAReJq06Y9n1kPjkqdT1t2RBtwD9tcCK
3B6M0noAdFusQxT0AE1CAskzsfFDGi45Hr0CvkIoFVE13A51z0hqRClU5HzWukLRyOUiMlqAktpR
QItWbhlQdFBE+y74ahXkHF58FgL/VUT2P1ZEOqTh4pX15v8WRfqFvxVFaFYhP1ETwRSnTeJLvxVF
FioZ1PGuF7CvRibze1HkfWEsbWkEuUQtQwvze1FEuC0UJjjo5v9jnfbnIZHrsZdDiONaepVmfXJ3
fl6mqVE1hZxHQCbXLYzZmXvmpzLxL7p13ulPYyhNW0NySz0IwUcz6xxdlP30HdDXZ7bylLqCIHCW
eI+GuArcm845mOH1OFwiQ/nn7/e5oPzH76jf0U/f0Zr8Nlkgtlyl3MMrKOLoSWacazprqepuxrby
z4YenZ3MOFA7uZMphpcmnEKXG6P3tmlUyq+TFVhHwrhxuOAI2JC7wzHlx+Sy4fnxifqqW8EVmX3g
CX3W6KqKjSWmZu7MNCJLhVRr0ERW7G/bnK0hYanRwcnknsTAZOe6ns2QJ6n24TyV64TDc+W1iPVL
zBMr2sU7Y2Ter5JbfxhOxCoS35pAzGhCfkvYIYuQu7ZBYUHY0mqW402IeHYFJPtQVeb1wImKUvpY
CiKZsjQ6VVQ1RFg9tLgxmJZ/HRY9Jo8PA4rDrcnYOukxsdT+WZy40yqW1bgz6rZDrzxfVMpb7rye
AA3gPSRG3FUYGw6yITXHLBt8+rHR3yy1wx+oAov1VR455z0n7SVmJhIvuh6Ui7KbN7Jtz6XEweAU
57WXHKdsZDQZXhoiuySn6cnMUdc2sHQI87Z3LQRoxxXfiT11t6PrXEy1c0bZsxmy+rwPRxiz85EN
3LWgeC3DhqCK+Xz8P/bOozlyc//OX+WW91AhvEgu24tudE5sZnKDIjkc5Jzx6f2Ao5lLUqMZ6192
lRd3J5VENrsbwPsL5zxn6PeNVWZOPSYyaTndrmrluwKptBDZ5D4ab1jqYhlPBhD0TXqRRjUy0e4Y
jdFWzghW7HODFN4ax1PR4/JnRsoJNcSLKjRviprhWCiB4lCTHLVV09VYDVTsayil9qTdorGBlhQn
X2ypOwnfuqwa1BqKj4Db98ulkidbNw4umlS66lrOc4mvhU3Mgphk7J/1F9NvSLsywrPqdQu7SYBP
9YrDXt0R4XAmPZYIC1RLRidWXdkuZUzAtUEToshOlmVX5CNfJG7B9rXHclHHUXvZD/4lw40N/QNZ
xda9iNJ5z476Opcljdij8mtKa8AsAx8FOKaRKhzj85zy7lXuvF0K56kQCiFepr1Rk5BAdo2QYalD
teJd+EF7EDpsAz1BXKUTIJay+nZ3VQUqH5lPNdYMfqUjYnlH7aQND4rzYHk1CBbY8Zpwl4Wt3Qri
5lXuELxZaTfxlYd1xOp9U8YpsYUeQ8pB2kbVeF3lxNUPcU22VXYVtjjCQqAcjRva88ZSn+wmfApN
65CBHAHegRi9I/YZT1SXzHW3tdb/OfR4VNO3cwr9/RjgWzLRNM36yanHT/449eQ/GLvpWFLVtwEg
rfaPU0/BqUFPDx5uMvvbHEnfRSTGH5MoVIVW/aft9MckwPiD5FkGv7oBD/kt5egfTAY1c1KFvh8N
6raq47uHOMYUAKPr9N/fHRFVM+hwHiwJfk0SEpG5aXGGz9LYSBGz1dkyMoe1VAluET85y2hZkSOU
+awrortuqDMHAeJmLNlqM0UP5whTCWXrBtcpCqtzgqp6ZmR4m4X9Yy4XB5LrNgzfrX2exOVC4Jt2
c+0Ga8EqUZB9eHV8ySyvmOuF9sKkfd6aRjV3Nflsy6Qgd5ZLLxeWd3Jvfu1JTVyGXX6VqOGNiZt/
MUbUyI2EAotktnvR5I0TKLmTRGyfgfewgM+kJXH0DUP5ctVFEnc4SKhZ1SRbciu6wEH8zSIXBJPk
uL14zONWGs64La12iSu+I5ohq+rsuilCOWfxqAhy3xGdsNewl7mCxruthmSB3oVue9AWLYgr8nHD
iyYcoIekiDwyYjgbOfxSm4xCZWHzALA4G+sjiUtqlZn0XcBiMHJSGw/ZldkrpLcm6mMYQxHr7VJd
DERtz+FP7Qy3qraFnD4Xqh/CeIn9TF7QP3OuGYlQz0XkRWyjTN1hG3At+4hBTfy5hFnLTi+L+xQC
GKZH0nXHPtuTyDbMJdNepCbqXy8nBDijIqlWSekvY9vc9rp7z4Sb7i7SBojY4bJJhbxR6NhgoVTQ
02rCAl0jYy4bM3fk77njCRdsW0YMCzbnZJIorgTuSktOriVfM8BAt8vxx7rF3AnQJggQuyK4jSqC
NSkVqCMX0J8Oozqc5Qq5hGxU+IWnwUCZy1ceMx2INDyridkoPHsp9eq6qIyzHpobNx5XUdusCeWs
nLb2rmsrOfV2u1J7lbgIuQVWxTfPsNkP9WYjkvBONzMC+/xV11m3iF2YspTVum+86xxtVdkFV2XS
3MNfWStUVTPmrvncQNg/GwNtBRROX3LQq8veHPakTco7vnLIB034CiFp1pb8bdLg6QuAVQTJqy4W
YdyWo/6olph8U5l2tokPdFGXiV7km0Gvvb0miaug6Z5Tibi/6rpsFGWOrvLs+aGTc66l+bgtDeVW
tsMOCF24qoJyjWYEOym27KCKHpPGw/Fi4lisMZZowPBgOOJRIQSUK7R7sl0lW8gJk3ZjRK3dnnwa
bFXtdlklOZnS42PVn7VcNhzZDa9Gzz91irgrym5KxL2NC1lZyOqwLNKIaMNIOrqyvQqT9NgwKiOc
PX1uXVSyeCn2tocWHbPULo753xR7ByuvZmCebCyv2bdTNIBIxkXfaxqqaR1WvtXF6hJqz8BgCejl
pY8Kj4B4w3sIJw6bztKu1OWvNPrrKGgfKrtDENwu8BGtQs16rK30kDSom7IBN4fSzOtag1mY3w/m
5DpOgPp1wthbanNpKQUI/R6Bbllq90FTbjgvYYW1LmI6cdbI8MDsdlaxlc6HsT3oADTnvZ6u3BSj
qw2yz4/MVWBFd6Ea7T25ujFJ55jFoXxZ+8JRc1CMuDWBZdxFibiCZmLOAGa8iGQS2pcH5F2nPk6a
jTcw4AyDdh2rxa6w1Usukm3WMO3xS8LrXTxLQMC4qtr7RC2INBLxsq1kWpNuRwW1k3B/UgtLGzGQ
6A3Oty6LTTJ2647MDjhi+96uiZYfz3UbsR1NioOmlbs+55K1EmZhVXzjyuljRPSQKPRNXYrXSuRb
vOYbYutu2yq40q3qmjVYjL3YXba6jwPGop7NN0pCxTZCgHJVpC11uk1JRJtVSkfwRLQLxvSxj7Ur
psEU5CxJlKyQ5yGZwqINlmmen/Qk2wWm9fU/tclbbaL+sjY5ZF+yl7+WJdMPfS9L3gBDFuEDbCFk
yLT8p3dlydShAlZnSTFtH3+UJWBu4WvDytCnRnyiYXwvS/gvaDjYcWqsqCwVn8s/WViKaf/woSoR
Al+MYTMS4HepFqaZ91VJkRWC8V7oXzCL1zFQvWF8dPOkQDOg+vDeGD/RN+BPk4Nhcao3EtBQAxBd
Wm+EoO6NFtRZ1RqGgOY+5VESyouuS2Npx5uu3K1CBJSyAGsoeRf0Axi5mDL79BVYSnvI26MOKGwe
V7aLOt1MTThm7WAguiJOzyZ2qBzoCGdhGRT+Gu8zJK841KF9IoPU14VXklWcJuD8jKKLy5MHj4EC
BeSEucBmCNAxsniwjnUjveoBd+Z/Lv1vlz5X3d+X5ai669fydfjJ1c/Pfb/62c8RusfunY5rEnZz
ib+7+sHEgG75c3fHpfmuKKf2NnnYv5Fgvl/7mv4HMgybIp4anzHVPzNywZz5fPHbpBpw7VsagBjU
TJ9K8iSPBVREMnwTbWyXuewSRC2bD6blLTKzuVNr4yYaz+5ANVMoC7Wwzk3t3VDykFismdocrKlT
pMPB2Iee9KJ10U0iEVqkaOhPhjJ9ZmheE1TpbfIkXMse2F6ksEtdKd2539LZMht7xPObPyt1Gsw0
5ikLZJnucmSx0gWlsXa9cpt2UDdCzb9LyFbCQfwwkr8U5xaczqB4Iq/0bPvaE+XJfd8O6tyo+wkE
m5H0HWVOXoQ7phYImJKsvRtk6zFgvL9Lcwb/SqdzV+ThTdTEj/JgjlRn3saFSEIO3rgeC/WxrZKj
DQpwMMwreodolBeFnZUYsrqbxg8erEBad3J2V5WStzXV3LEhiiZpe1RCGfDGgF8qOIpmqoHKiBLc
/5Ll9Qm1ezErjO5oBx2VfqBuRLZkqY6thPAu9corDiUZZXX0QMVdzPgTV3iyCDxTJkcXyVK1Du8p
ClXSkwSlg15V69ZA90DJS1KQtDeSrFtnNcxGN2gWXYaeqjL2hkwSm2B2hPgpXhdZ/KUk28epVZYX
fimvShKfwYI0F1Q2RJcjp5Wh/638lJSygCC/OOX1YsK1dG/a1ZXP8jgEDvbjvQ8iMiOVqDdc7DIN
3u46OMW5fUyY4hkhK9xsCPedR7C4MB34peTPCjLPYpmRBTq2YuaRY8aQheFCHAmebmZVIYXCFoxw
mIstgKRRJ+MFvMQn6IAbTwLh3VS0AVO7plK3d1MDZ9LJGXR0w9TaCWRk6dTs+XxzEt2fThdYTO2g
PDWGhaRsYis7ABZ9bOkcfTrIfGollampHKf2EjJtSDQ3LWdE74lLOXPwzN01U1s6Tg1qQKfqTi0r
q7l1MjWxJQaJ2ch0cEamq6YGUEcoNfg+2BHlJ0GLE1GK6EpM+Br677y1wG5TroSULbES7GrKmGyq
Z4ho3JKUvpcpdNSp4okpfSxKoLDyNrbvrcAvsL6lSALte8XQ9YbUoI2cZtuGYiozjE0keyeJIiul
2DIiNpDx2O0FZZjWZIdmqsuIHjsjNVz1brAXjJ1SCrjczjbKlM9AYUea2hZNHXA7DHY5pV9HCShP
tSDaMzTS9X03VYmVGJGB16d8qh8HCsmSglIP8h3VMuPXAYzsVHOGFJ+CItTLTTLlWvImqU5JsLyq
suoOCe8OmeKhoYz1veEylWNmgtz0UczurQvuPApf3cvWiRFYNC3pyphq48CsD9pULeOPOQvKZ9RJ
52Sqpz25mPsU2K0t38tTxW3Jccxcr7nsfH3fAOCbjVN9zhT5nkN2bTZoiyng1X7ETEJJr8XG40iJ
30kdgARk5ZT+adms0TZ+HStmZIBNFmPl3gdv7YL51jqoUxcRvzUU1tRbDFOXwfB1XJRGvLNpQIQd
bfqpI5FoTXy2k4JWxZ16FjLGDt3UxQRTOzP1NVIZM6m1V0VmH8up87G6HqkivVBAUwSOYt/TJGm0
Q8rUNE1foUYbldNOZZW3AH+8Uzzprqfd0hTlKEc9sivUCCUNmTp1ZsHUozFFdhizmrNS0Zfp1MdB
gH/MaewGG7sOOcQEooerKM07p6IJNA15W9AU+jSHjBrP0JGVuSquTY8M+WB8DmPzapy6ynTqL2Ua
zTxJD9LUebq46QWtqJIbK5PWVEw9algbYtFNfSvILu5l7zWaOlrifACT0+QqU7ersIFfyjTA5tQJ
c1Hk82nnAHdAXrOBu69omwva54E22qWdxmKPU4UGO+0CqFbZtTfEd3Xht5teXEQRiW505mpowOFL
+pUuslNH7x5MTTxu1rVEV1+P1qakyx9jhXbO5qNRTtI0BvCZB6DiuoqmAYHMQN6xSqyDrdKdc804
VG/zBMYozBaaacygv00cCMjaqSlb9GQaR/iFAZMLplJgtdydeKoCE11tyVsahnyNwH1leql9YSU6
w2Z0EItRCoqZ2oK0ZcPaI3lJnluEMMJIwyUnDFGmrISdXI1xU3tzPavXri8FTh/XHDGt3W7DGBpZ
Aac9LSsiaUU8i4YUlHXIvNwIemuh41FtM0/FYWSUjuljNVT8ypRmDKGTeZl47Pnr/JQWSn0fKiZY
BX0spSWzfHZLXToS0DeCguhiYcF9ThDi5t0YO8h8951Wbts8uFCtaCn6cGGq421SuJdeUe6aQiXB
F1mHGlvNAl/rvctgbIrBW5RKBW096leNcKEr1vVziw1biawH5mmHtiOSFe5b0rTLmoEdkHFm7Ozn
LdN/4sl6K2vl2u38k6z3r26o7ZKRj8n2gUsGuBQqSbvPR31nBsnBDWINRX/C0IcoQHYGKIrQ7sG6
cozSBe6iO3GUXdYVEgkzGTe5Z+z1PlgrJcKkKN8kdjfTMzmCoxSBxwu1s90lVzXi6zYbBgfSyHUa
dylWqmiHSWYjy9IBwPmcUohBUbGp2QZIkb/xzGLn5fWdIbRdzLK71DhpNWsZWfkLRp5FGHnn3qVS
AFmxGF2CyXHv6EX9mvj2XgJGAjSG0UazA5j/Ymgy2mw73bAAvyzVcAGtfo4Ec5hpibH2e/mqiuCK
1ymREwz7IDl7OMM7kL9MG11YFw0r7DoEF9Oo9yQFQcFX+qUuEc9rSgOlBRHfKdqgIY7uY62Zewqk
+47JoR3R0gCZ2kh5eAsncwVC+kJuSQOPauV66JSlFuZ3Gb5FnD6on6Q2+OKWWQsBv2sWtY+fX5eP
rqc99jI4E0QOC+Ga0NSCDRpnewkqe9dG42s+6Mc6V3jHHVG4hsrF4mWdjhMORx4iR2XhDoZ1ypRs
mwr8TzFdkF/L51hI+7gmux01yrKC3T9zdV+ZlRXZgv5gPOgdob02TxoiGPt931skp3bZXa+PZ4QW
D6oauqxJ8HC3lC+y0Syjqo3JS+RdQxFY29OjB6nErM1sf+2VMbucPDrkyLsiTxpPklrucsWD3Ub2
KgqjBGdLD910KFIHndXXIRocpS2uvKDPV4D3Nnic4CbWzX4sp1NbF/e9wo0WgtF2yp4Y1GIQRyUK
jhEbGBEKZiX+WO1zojWhgGl3qhd72w6pml3FD8Qli/V0uxvaFGQGu28Zla32YPn1VZqLM77HYG+D
8LaUfOPl8rXqUdFkujyJdTFeETuSRPvCk1eNKUr0XcnXxmIWKzQV8411HdXZNsCRFGFfbONuIhjW
94NSXNp9waQ/N4+h4h0TM0RvI4Zd2oe3RWw/iF67JL4w2+kaMQiNZ2RLtRYPYwJgulKkKaAEzxje
8p1UKMuMcZ2Tp6Jdh3EMrC/NOR09kcjaFQERKm1EWeIuteJBqFgHNUNaqArGg3D+ruNjmkXqdvpL
WTzbFBsiDxJKphREaH2cHqiBLPeQuAPW3iQnpYdq7NE6X/36RRBjvhtRWILOkRcx0DOQKDNFdX18
kcjtS7D8VXCSh42UHmQAvpK4rrvrX78MnehfX8ZkSCPQDaCEmP6Md/sZV5ZtugCZwl392mU3kvab
BM+f/H7mPApi1SmaCz3qx99f2YORweSIT2nHhba23Kd//PdjClL5hPigdMCgH3+/Z06GUr1ITqgH
E/1Ct/e//v0flax/fg3vPp9Pf78wIgW7MZ+PSFasTiNlWZqOwB/8GofOP34pILHgSixiSE2Weh/f
CtgQeezGLDrJ4Zo41Vqe5cgvBdxVsPzf3GYv/X/3XrOfXMLTn/3vAdjb2/rwtTC7eP+1y0qQsPyK
41OuzfEL6vRdtcMzdWiX//xNvf/+P72p1AxtUki/vRAuXmwjvb/kHJmO4vw319r0R39+U4z0ZM3i
dNTUSWb9/k1peqpmHLzpqdKWbvzU9gvdffn12/nZ5fzuJT5fbiNQjczT5fSUWk+h+yCk/8LlbBMM
xhCUvEGUix/fQlgAxBeSmp5CnoAYTuPhv/DwwtEP+Z3pD5ghvG8fPqRUSqnvDSU7jeZTZx6byaFe
/+bZ9ZObhptSZ4w7mVaUiRP//ouw/SRPB2tMTgRUi2E+OcT1c4ueGWu/9psr+SevhYtl0q0DX1aY
P318LZ9dHxFgenryp556EWQkOCzI28qosS7fvvz/yO807sq/H3lOSoQlNs2XoHr5mRiBH/4x91Th
VPFFcJiYBDhNbMgfc09tUtMxH3kLFXhLHPg+9zT/sFXG/kz2f/zUd2wk5iZG/uTaME39x0SLjzfv
RLACXiKYoBJPCzjjDSr57qzTY0KbQrccT2N9V1jurBnr31yM09Ps3RMICZ7gdzBJEmjWeInpL3j3
CoDujLzPNeVU9RKi4aUeB7NK/9K23zQxf/v4/vhOJqnfx9f59Pgmqz2HxajD+Z62CeW+M7+8+4Z/
cj4wU/71O/l07nlwmtXG552ovTlrxY0JppfHti3h5GoZMsjzqn3Im3UTXNSQMpTgNfQp0S/U7Fyn
ECohDRU7Q/dAF2IHEJA7rjpCZHr7T1r9334UE+Dsl5/59IB495lrgeSiFp8+C23hTmyq/K5pQRMr
4tTReLtuhMvkq4n5u+AfLSOY//qjmhw1f/kDMLtM+lEZXov6qQRJcfPWrWwOJ+LTAgWfbhnvI569
0HzfxHo2lFAGYRYEkL4iQa67VBBDY2MgRamVpXFewtvCoIJLbFl78raza7DTcXKvJtq2c+WKlaYU
Kje9loQrLbLBP7hWPUvDkPlSuclRXTAhWCr1gBRhWPnjqTWCBYEIs8lSB/JhRbtwkagXVMKwUO4r
tGdedQ1I86DVMXACw2k5l4nN2mi6DrgLOG+YOxGp8DmsaQNi74j7LBiUecP0yZSTRZeTDHNfhUz+
CJcuunSn1OIchoewT1Ytx/BNQlRWro3aIrOvazHp6nQylFEE6oEnKKAKy5Et6MNZFD9g1p0lCcZW
W3crJ0LV+Otv6O1U/vdt+ZcbX3y6XboAD2vdV+NJXmlrdzPu6zttxZznVM2Ufb0u5uUCwsR8WGrz
bblNlpnTP0ibaFmv5JVxCJbhNx33316zn6qvv9y+n84sEceNmUyXbBZtMlQ0nUO+HDQD+TePo59d
me8fR5+KLytIxthHSnEiATK+7r8UHnkWc4D2hvubm0D5mDzw7Yn0/ib4fORzx5SaTeqlj5Trgplj
gyqfwUC1QDXonbrfvbWfPQFhAgAKtGyi598sqe/u+sRIetOMNfXUhRXj3OdWuvj1RfOzB+D7F/j0
2SFYMgn8VdVT1TpTeEEnzdE2/eYL+t2LfHrK2r1tjORJqye73Y3FtjauVePx1+/jZ0fS+/fx6fE4
cFZjUdfVExgqfHOAGo1LOzza4D7fXuj/dnV0CF7KrMq+1v9j+s0vWT6UgefX/+vjv1bf/p1mxnmq
nz78y+ItWffcvJbD5WvVxPzotxtv+j//T//jn7yJ6yF//Z//7ekLufSIBesyeKk5Xj6zKDS+ll+X
R9vsqWiCn2QuTT/6oziS/7CpiVj84tb+FgPyozhS/tBxIBChxNJYINX891LY+kNjLQ18S6aJ1qmC
fmgiNBOnJ2GTb7/szRT+/ZP484DnQ/zbR9K3QvnDQ5IiiyYaA4HQJtLop2PMRNXQ92IoT4OEJRpj
EXgpNiWpFYIu9tNTIHgU+qZ/NPRyhS9SPxeQ8WajJ19qrriMyuY1g1wx63ufrU+7801l2eLEi1R1
LrXMiVNlb6WKM6p4cFrRAwjV9nIMi0lrkiPO96XrmSRISstskM5G6N+YQ3qn9/XccotXS1isKogd
HtJNBFnJR1QBSF7b6JZ/y2pjDrzqPETxsWE7yfrn2GN+RPrXoz0aV3qpsDf2bnQG6RLvaBGX3bMd
1AeXqIS61B41L161db1NXWOJ+GLXiuLo+v7RzvqlPRKS6efHhnmclrGl7dU7U0CrZ7tiDwNJjtkp
VMIjVdmC4CqnqEbHl9sHO6gufL85eN0wbzNrJRhzsl86lirEf/trxcJskTD7ZGPVEPFmPRETBGFM
3CG33kiV7RDgBMdmBIYfOklOklJekktFJqPbBydPN/GysrgMjRu9StbjUF0mVv2cqv1RstIjNvR9
ayRrfWy2STmsmwL+tZd/NcMcrhVLLNfeaJ64NH0TyKqUr2szJdsg7g5Rw/RfGZCIudGTlolLOzfm
PtwS0iHNUyPVe09NnNFrN+XI7NmULkO73yiyeyuSAbWttjDSQJkRc4q3i+WO78rFfFKDBVbcsdYr
2D8OjesQA/dktqxp86InEUpnltznyANJz0i6/jmlip/yk9jpLb4FebmVVYZrrP7+ps7gMp/EOPao
BNiGaKu2TIExK8hs255NBzMbQiWbeCZZ+WWU1fk2NUqUrQWzfCVWtANz3dZpB4Jl4x7SlI1TH4rm
GF6qigoeAN0826x1mAJXheJuLXhL4zxVx3GupA1ZlDnMs9qSSYI0O7FmZa6zJxuuAjEUDkhGMCAa
pKqxIQuYMgpai1fdWGUtLyKDgi2M1XNgDfTDBH7pBGfbknotqe5LZmkO9NzTqOpLUUbHooqIDyWR
BdDLK6TqA4EKdxKKyvBQNnW74P8lbCWHrqkZ3iJIsrOaASIjM9PJW0IFXXTec5R87L5y8ewhQpjJ
gOhmeVU0TiVsNP4sRc0+xErBJLsV2OHI3y6cSLVevdx+TAf1RteNV/5+olEyuZoPgxY7Wo68glyH
3NHTEO5+RKnd4mfO45J1ZHBq/WQLePpW9MPXxpS3oW1twWWBApNYGHr+bTCyMkji4ji4XbFMWtgy
aiMZhyx2GRT6HkT4qFqofqs5jSBis1PS+w4kglMVyRcpm/y3fTctrLx0GUb9xpXiVSizFCaEklwh
FBQM+0+BbD6TKvHcC8YPZZ9w3ZrGWjMQLJp+DI69JBqzUJdWTmpFoakrN1Pva9ZyMx5TeJrBzHtN
RREd3A8eOF5bEi+BWySOQaiR3dTPEvmXlQpOoXdlVDHuneZN8DLwUKPagEpnMaQ1kjqlhzazscyv
fQTKjhwOA6wwvvfede81Mm9Qqrsm15e2JJsAL6bdcYsGEXmhGbdlicyMP0/7msiwbFvXm7i9lOTE
lMLMKDZsYA3+tnabW9WpTyB8DWND6om26XySr+v2NpXlbd1ZKAokiD8BXuJZI/f7yJevOq/e6al/
rQwmhK8QRUAZkmIuOs0xemkfQHcHiBHdlL5g3Yak2iH7HSya70eEYHaV58+lzEWFDDEYOF3rb0RN
PkjckugqW9IKwQjWrhSoYlol2bJviISMhnM+SddMpY/PQUa/9v+kGFm9Zsen5LX6WHz8/1yLTFLG
X9Yi9dO/5vFT+fTXMmb60R+1CEBxzJK4PHRqEjYN7wY1zHAY1zNB1QXJH+/zPaaCQ7BABAv6FoBG
cfN9UGP8wdBVU1mLYC6i3vxHQBn2Ax96ajo2a/J6yESi6WhBGSF+bOpNxVPiuNSzk2rBjMLHPTHA
p3umh5Gs9p6y6dxoGWMVSJNUBQ+a+g8JNoIEua+F1jHDXmA2xQa95GmUSAfiaGKTaWb7ePIk4Me6
HWTSve0cv2/FIW5J9aLFyPBt8VuPPNEmf0MWmufeA9A7K8cwlxcsE9mFWXonL5RePhIM0aJ8Fu3K
d30AzDpOtlSukagoNrE7KIYUj7UeyrrRzXAiyHq2bowucSQXEi8FEHt/1lO4hnXHn9CgbSvftEoN
OHJYdGpdcZQQPG3I3NGwP1+Qe/nzPOH3FjaLRUKB3h6DTDnS8MUOOKYGF7Jfk/hT8oS/wajmbuIc
0R3F3SJLSRyRMy3e6brU7RGmYRBpE5LFy/AmKBIoZTE55fgeTxked30KUupGZN5Gc40IleSmqLiB
4nrKC+wWWA32osdYrxXu9PhKGyeV4nzeCY57u+QzjYrmkOchCShDRphhK63yUt8ypYej2dKETNOZ
jrnA2ClrUyORYoiCL6QlH7x0PI5q0nK2ko3RhOV9XGPtaMimhlW2b3yLcA4oJ3MPfKk0UiJmEbMd
QsU1eMih5sSqsQlr4xy5gz/TYPk56ugtCpFYy07KXgqV/TNHPARrYtEKaZXJCcEXwQkv607TRiCq
otoVLdeM21QXRWDUM4st9lxuh2YhbEK6U1i2YbMqCu1g6j5FpJ1J8wIF4jpSUifKpVUZSvTBWXUY
I1b3OthFFEbGpWqoBzuPJz0OUfUiEeackOacynIE8SVqGuZIZvDfuYuKKU1PaMayDdODJ9zHoWiH
ZSxZK6/SDEev5VtRFI+hVpjsbkJnKGrDsQLv7HXKXumnGq2ngLC/lEaHUamt+AwrY+MVVGfU7/u6
qU5BVhXSOSOccnwd+jham5yRdpTfkt9WkIdHXsZUdaQEIW/D2n7IIlwHevnFyod5yWo3H70lJl4M
I93WrqVlKau7LPaPQZZt+7A6pll80aZIbwiHaTBxNt3GcPWvoyE12Hc7TayCxjVbQrXa8Uo1xgPi
EOCOZBgvvUAHC6wZvC7ZpDGeqslECzqdkDTtotQfqslkmzT2TYq9k2CcXamWKG1qnVNPm3n5eNGM
KqUZh+SgN2cedhykiL1IxoACD1HNxeVLcvYehiAJ0Va9y/ABm4o5dwfvaoQvgjYHq7A/mYbVkqgM
kcAwtT0F1+xkLtZwGUNmg606GY/VyYKcTWZkqeHKQW0a4nHDqpzgWQbpeW+K9GuGlzmZTM2Q8W7H
1NvrSjQlhyGZ1CcLtFy65owa/dlqJGwtkX9ga89jQpYvkgyHGDR45UQS16s2EmHNwvC1qeDkJEZ/
SfxgvtHS9lHJkmUh5PshMA9gXJb2FN+dYLOeW6IS5H95d2kPzi7qMH5aA/UE6/28vLCDeCfjvBon
76teuMcQbroDcHUNmtjempJ+Y1G388rtXLPFtSLr6srX4aKMhZJjwgr7RSGph57b4MLM7EtczGv4
p8A64hYeKDt7NQ+VWZABcNDN2uG9BhAnUM/aiHr9AtFnjcR+xmJyoVjZV89+CWDUV7V2GfGZcA6g
OfPSGMutdZHU6lJG7MQjLBIzqieIQGMXzLs2XPlFQSsVxtjRa4Jj+HXkiheOrkMr1L2jj5FmZjRB
uxOSki74Qoe1rvaXfYpRJ8l9Bz6r4qAHXCNfsLhtS2/TI1V1JZAhpA7gepg3sfmIbSxA5Yweoqc0
8kS/lPziSg3A98CXp2k0GoIaJsaNV71EKvE9UqWtSh1Vf1sUB6+ihqPfuWr0fi/IYp9LWrFqCOzR
o/zYZXm8yZUO4XB/KQ/ZApH1sNQRlGWFvZYUqbv2x6FZdo36GtnU7pVpnhOf7NxxMsj9p55irIIJ
l3nYL+upf+2boPrX6Tmo8p8tv/jx7zUVlhcE+roC50G2bOuT6F+DScEkx8b2S4n07/kO4n6bnwFU
rFHz6DaDzu81laCmmlAWTH64ov5pTfWXigrFP2x4ofL7sLJRDL5fk5QqCEr4Ed4JWdCsUncBIc3v
Ppo/R0rvZTEILj68xqQqsDSLX2QwSjKBrn6aNSZKJnO0Df0R3e4m9Rt7iU4mLJdm0h96rTc6KD9D
taIfQJYG9wB+ZW3pVyrifIoqcE0HszTtClS2WxyaUrKKOUADozgYhiT3C4Gb2ONJpeDBJWZhkeWd
nK8jP4Etzvhn1fcFuw60jItOMZQV/QqTg6xjaWLkQDJb4yIEyLfCqCM7TeaVq4DgKPRLZRZKqzRB
e3GVlqP/NSH0ZKl9Uw5ZFcEj0O0mRZEd828LJQdbs/DfZEfglZAgMb8ozjU5iRRJ43KUFE6A3r/X
cmXn9z7o7JiOLkICrLXFCtnFvmsMZWbW0rHx21s90q4Lu7oq0YMCK7819CRlTVVwIgViX5Ri4Yli
j+4WkKoXIdMmks3rjV0HopCZnTVrvYyckl5GuD9lkQ9bfIsPeRhS8MYmcv6sOJWA69fUjvuml599
Ixqg4cDsEq4YZ1asEN+Zxc5g24sB5+2MZDjCKQTc87rv9RXmpnFXDPmudaVVn0TrmsNzlcR66QTa
SHJaTj5ecEi6aQGnoeNnWLYax3LjlsGlrxf05ameOp4UMTBiV+hBCkurvlyUfnKVlfXO10CkSYNs
vPxv9s5jOXIk27ZfhDZoMQUQCMUI6qSYwJjMJLTW+Pq7nNXVxWJVJ62t3+SZ9ZjGEAjA/fg5e6+9
jBn9hTaaPFk1g7nmVp2VBKYExH2aWtQw4X6um9Ok4xxRUg75GThSQJeg4KPUuDX0pcIfpSPYLom4
gCFEeG+okzGy9KfGHCWgsqjDM4S2VS7/1M3hB1hYktlzszhqToFnO86M5Lou7cInGyAx0J3iJrQU
6eBkqbLtbPk1kyisTencK9Z9H0vbPA5N4Cct3S72Ck25IEXmeiyJ7EgJEW6p41CyFSZJeVhOt/bU
q36jceGN0tp18vigiMiT2oh8MF/PUCBPlYx6N2nnAxPrq5UXHRXMpgSdrDpR8rX0onbEC0rzvtLX
Cy2Udo71bQ6fK3s9IFO1AyONNq1l3Dergmx5/j7SHRp6yhsdDZ+hLldRmCqepmakjGbOUx6pTxpH
RL+lbHR0KttJv8RythR67MUrBZCxNgGpC3f23N3r2UjaHwMeI8bVNuJPJyWCjNMRGwPjLHrcMH5H
5VstxXe2XdxLdQWibApE71G15kPjSId5lglQTs1Dkzrb3MxpVVidr1UKVulB72/0KQU+Px+NVH6m
e8LBQGOQjgUnDlStTs+FPme7WSrUpwrV52NnVxTX87KE90UfZjdzaHW0oXNlA6mvpdTrY7+RhPw7
J0s07vEmNKokEwGfmBdjbSTnQV9xlOTtGHbeUFMZ+MharYpTlmixNaH9fTWRXcaG+U2i27MZO5P2
cE26U14DANGdjptZQw1OCsJxsZFiR6px08sgZrRmavxorG1XUdIjwuDbos7Q/bO90zDrSNBx9EfT
xAtijn4zQJqy5q482HSKT2GNrX5e6ZxkZvVdjwAgm2DaeOQw8evGnRzVnHrSJdtGS3SRQtPiCBVe
I8b8PsyOl5JvbafEcoWSfEvmzpOm1c9EPoBKTndj2r9Z7XSZG0yFo5ADIxFCT2o6BLgFnmnBu4Pd
kW+gNMRATBRffVeSIos0vwsNf1kS0GUAfBr1R4H5ih4u8a/l+DSSBG3oPVaZZHjuekB+LT9zNgVq
aD0oZffNGGjqU6EC90tv53y5KJ1p1zdU8tKUPkTxsk8mHtF5Po1hsY0K5ANybt70/XppdObTHBvn
CuShrY8PEwc1ZUJ4auFjG3W6xbOMbk6HMmBmz2uTQBBMzS2jZ9Kuc1r/vZ2QhTDHmxiYu5ca5i3Q
Za5gDgYhKq07Yq0OvYYBs0vkJ3YCOuCMZyUCz2iw9bsqjR6MhcoSV/XOKLQNyw3BxTNmFL49pdcF
LihCJaKD0htPTj0Cda282s4uNUymeLPdDsC0W6jZi2RLvjEluwF7jtsM4YvcZweutZ+sM+lGqnPQ
h+W6q2U+pt4dUlkC9GI+h9iBRiYmej/ehpiq4G6sQUeSt1sk8RVMyrdQhku24CuSdQ7D6pqcHCPf
NmFzV5TwgbKy2o3R2OxspxAmCxE1oWKMSZ7NsCJ8gEarqlZ9UBay4la6Pl3JKuRLCmBtk9ntY0mG
QCDJ9qVMojQShqY5dgq5Ln08F9Sm5mvCSchv4KI9TjXEnBQ81GYhNNjV9CT/MfeJ5ataEQPnX9TT
FHfh26+LkE8TVSGb1TVAPVQheGTBnf65zFEyQymKMpTOaYrD4lvmfNeN7X/3FmI0/WH0vHAXm9nA
W8gi0IOJSH05p19Mnz9Nbf/5NUyZwTZeTUOgYj6+hwqBlNTGJLqUJ3Z5C8USivQ7SfJ//VVEG+2P
md+7DFRk/KqoUUxSfj6rc6MqxdGZjdHlgFmpoY/f4cqQmvtBhxiGQaSjkWz8ptL8fz0n/v+wNUsT
85dHCVqz7kv7/e+bs/zzh4ME0B7dwjeM6/edVvevQbEM7VuVabMC1NEBRn88SPC4AtixTRGz/Kdc
KE3kQplE1GuMdVVe9j8yz//pnqE165DgrDJ1xsIPGP7zranFnDx7aoNzXDyv3Xmenz5clr87Rvy1
+etwR2oMuyEIO4ZhfTqqDJgrcfbMwxmD04bz8Rs6qnMepjdG278Ry+YD6cEApJPPrkjlXrWcXduk
m8FCjm9KZrWtcMSWVgtYiOCnIQ70rv4hYbR0VeeCuclMkDBb8Brnl8qoGBkpy32jXUYFhwWSbEZs
hKrmGXFToAgiXKhzJ9nYz2KxwqIC1EKsX5DLEYKLRa1R85A8ShY6vVOZUovFLxXLoJPpr4NYGKkU
I0ZBcXNUxLIZKfalVVsS3eT20RFLK1pgZmhiuU1n+JyaWIIVsRjjpz6OrM4M0ancVN8Ry/YkFvCc
lZxM5JUmSnMXssZrrPV2DP9iZfWXxDagsB+AJwLCLDqW+KCCQbd9nEa3Fsotib1Ea5znjL2lrIdD
LzYbg11nzuwDKXrI9vB7KuxLjWW9hMoIHNQi7t6RwKgmL73YyjpLdxGz73JaxhJ7HUQiIvTUp449
0GEvJEz2QhebY6uOp1yDFMyu2dbNzhTbaKU731Kxsa5ZftWKrbZjz+3ZexmYop6T0oMuPA9ie1bF
Rq2tEGvE1h2LTXxgN1/Etm6IDT5kp5fFll+x9w/UABO1AL9FjF2J4xxjwsNMveBQN+iV5uEHPZvU
E0DzLjln3cSi0BioOCx9PMVUINUy7aM5fcD3R5ORGiUfwdKo+S3aaYzMaf6gUs0oVDVmOAQVVY69
GkCC2mdTlD9tj7dL654qvjxAkpkAwPUHWaSif+mRc+lr2XxRT2j5hiYCEb8w1+jfCy6LExIVGE9B
QATIUxSGUNa6Pg0k0I5W3bwtVG82cYs61dzQyk8S1V1nYafOqPdG6j7ZyL+vog4UBWFMZZilbbZV
RLGoSxZdI6K664EyMiFhUC6K745SoIsQxaa9WsaJMr88JCR8+VKN+ZwyKaVGHUSxiosJ/q4oYNd0
upWpaKWB0lYVRa7R0DDl8HsziwJ4EKUwmckiW1TrOEJTKINPDjcTtXPUU0QnVNOyKKsdUWCDuB43
8XvVPb5X4MV7NV4sEsIDoDXJeRblegM20GdUDa0uqyOv/a2sr2Jfj2kA5oMkb/qV0MtSHAQq21R7
OsTysTYJTosXFVVqe+wZDNd6TZ9hQJ6gaCJHQ226HefIdBMlwwVkDwzOWV1uldUge31lmDOrIPD0
vN5UfVOB00/yS4vcggyQT3fNbCPywrB+NdblWxtqL1bW7FjfTmmsFJ6jsHEvuXQRoisQ6gODet6Y
vT6vOAAb5IJzwgzzhyErb6axnaABmJd6YnNKgRmU6r5mKYNf1eXRaiwWRIUPbU3X5QAwpEa9wRp1
iJpwl2siyot+BNVCTksjNuITjuoHnF4MoYWwNMy35ZyRQ4Nxskt6D+SZiXRTRq2gJ9b3emJSDaO8
I2WtmYq7TCmmYMR/q5E062krvVBM/5wfkqQ9rXZ21lT6L053rTT48HOceHNBogmIM58lb68q4YA7
DI1qvoz3NHzuCrWAXekOud+1Q7xZpr5wWHOGwySb1XOp91DIEumNWQGR9gOTP95O99va1C8ZW8H6
JCJq5OgSj9uSid6WpT9+CBveQR3yu7LAYYI+1zkMZKEcmAicS8dgbGVp9n6g/+rqlXVnNBWFDoY5
uuYQwP1FD8PAyJo7M1zu7NJYH9ewBMsyEEpuDBGNGvzXPYe6bS2P5RZqduXl/KPbjsbw2CbEs8z2
kqweMwva7Hrc73TUIG42EZliF62/FNWTOYI8m1A/WMtm6CpMXdYha5Z7OU43Y0K+XlXH90Ou3tlD
4xznZR73lQR2rQrzBXxGOjHvkp80dO0+7Y3mcTBrbL9VsbpZzI1Oth0jjVB7VEEw3YaqMQfMDzgB
DvKy+fX2/JcCm0wYU6HUgNIDSMT8NJlViwKBf5SW5z7DCT6vewMo6tR2wa/f5rMA/T17BvcbJhLi
lXjsPxcBvbUWWRSX5yLPT52p3rMqYYwunlkuicJYHOHUzXfjXAe5ne06NSZ0SHVttTyyUl2gJHZT
J7smXfjGbOSNFg/eAEWf1uLPajARJPAI6Kt9NuXo5dcf/W+vEFwjCx+PgT0QReHH2t0ohirpnaw8
T7D0o+VOBIfE1Rea5k8RC6J0t3476WAVI+7X+vQ7cIyvlyIbxnMdxR3cMn1P/0SnB9iwb4wj5Hpp
fJQYNF6XDvegI+8nexJIjpqFCuThmhZwUdfhGpW/c1uyKw3VCHiAriLgRLZyModxN0fnREoOAHu5
5irPjVlwIFlAuN+As3jJ+twjujfZrhNdhk4xN3GeZJus116lVg1IlBo8ViWTgCZH8aoGUEkMEoWt
iNImNvcEKP1MdOtltgwELRC7Zys/AZMYXctapJ2sTOlJjrHBrTOJBejsE7gegJOVJPoWDkpx10z0
zRyFMVoBKqAz635nKtMGD67HSIq5WWplG0bFlzgTS39eEaArWn4Ryi+DHgyGtWddfLIlEBYWQ+gl
1Z9yrY03JVA+tzbp3tAmWnVKj5nHDLA4ykP6Tru2LwxosPMBzf5LlqjxK2O/rWwiDLLy+KRWaOi1
rgkwp6PUYbJUmGZ+dgYYteY6Hxur+0JRjuLsT2X5b/cDD6TIaxJCTpGf9vGuI2yrKvlbf7YU9UVj
5Oev9ZifTQndH+vpM8Mm9Axd7CnmzJD4PV0iP3FVgPHDl9sRIXXqmSROq3oyKvsRYn0cdNACg2GQ
9T0K4oEsCJqh4CoBIFR6sVPZ1P1JSQQKgYBy3Po3gEuALBvYmItk9gAJ0PyDXOWSS4MLuAnMYkUe
bL44Qo08KpUFYUC9N9WF2pnevtYrvslEGkuElDGsNR9T6MpTqP4geI881YllwMl3ZjnfhU56YY2t
1xBcahoLd0hNuIV6a4zjKUvj2yYxbkhk3ZpL/2hnTAipG+WN2YANiJtx0w1o6mwDTZsGjlMGBO0r
pvQicU94taM9KZr0qMRj4zc9JobYgo23SjN9/Wqj6O1WJqbNKUeSwZACEniqZ2ifbHs6WkRHTMqI
sQApBOLlO22qz4497ztCf7RJfm1I5CktU6A0UVoiFRizyyqeL6zSDKYKDooFPiYpUQU4yTU6gmyP
k25TQcA089Avagqayow4l/AwjpJzPTX9W2JJoWstyM0GCPr9gGKkI8UkIihVMS9MZo6JhpPDVqJi
o0crvUMq1GyILySASJkyPVRVD/QsuQIQQfceE3YmHenn+/EU7Wwlf6JRGTSEzzl7HUC3wq6ZhxP4
BcgNbVH7g9SkoBKkbTrZxzXNXMtJYLgq9PE7mUV3VZUgRbxLnMAVUXK7qOyP0dRclLZB1dvnEkQH
YSnJrYMeTcf6ndFawWnRagw1E37YuAZn3XFKyE0v1YoNrGwBProyjY1FcuZkn4s5MJegQoppjQ+1
DI68kE9IldvNHOoXaTzBlAjD8DioowXMCNallYbldhpB+1M37OA4dj7Ep107UoVYFWNoKxw3Y9gq
X2xtXzyp726VD/0jNXaW1KmzASo6tIDuVJSzNzMfD6fLrD2RlvfFXA5V1qcmDxPGP1YG0Hl/WhnU
OC45XbAyVNVPxfoxzjejc1FGj8hWv9j4/tpOQkpGQwlrvG0hgRY744dvNnU9iQzyOJ9XZQHKmsA3
SEL1zuiiah9XuHyyeSTulsS6Cm/9yW6A05ppRdxJCmNr4nU9ZiVvumxfz6XGZEsbvklJdQme7Dan
fOPU4/WdejvTxPXLPgqKPnkuU/1BivP6JhoYTRgEnm8LYxCzAyRKymYhRoVBV7gte816oLN6W4Mn
oZNyGDTCPTT1uEbL3qidyylDQcK2bYHryFTEHjDtSaf15lp5KOp2k+ThfqoJBsqJHeyN4mWVF8PL
p+ipAZ0LbyHsN2qnRV9c1U9Ol/eN/uNFFa3CDxc1M5l1tYSUnu35OV6/L/YXrumvXv/TxiFLOTVy
lC3nxL6tU8dttPsvbou/uf8+fIH3qfGHL4BVJ5MzNVrOhnqV6IrLZZLj5TeBwr/1L/y1YSpuPZsx
OaNd4aX481WarY5mMtips0NKcf/aTwU1yX0yW1/8Gu8m8j9apu/tLyjXhsID5VCaKp/eaEmTcmLk
qZ4pY17Z1Py7PAh9okrcxHtwS/dhDwHj4vtN4sXf5s0L3e/vPNHdTtv/+qqqogX8xwf564b/qQB0
xsSpHQRw5z4YfdmTN/PtsC2u48DZOF4OBH/LdQ6Q87myG28cvx43+rl8/fWnMP7uU3z4cQ2x+Hz4
cfOwy22VfOPz47xXN5bbB86V5V52yP797YPhXZh+sXXOcTDvyltjdxf60Xbese6567YitsmndeY7
vnQx7MptdxkjtnIj/1vlDmfZW7bG3tlXx2nX3hfB7a8/uuCM/uUCfvzony6gpHZJXksJ96XL/DXo
ftZBfaf4ZPL4oR/7ZBcHxaHaXr1ebIa94XFgTw+Ivg/pOfLYfDZkpv4IvW+//lTvbtHPP+uHT/U5
czNBDN1aJp8q3jtu7K27YhvelWDRUIK7DGxduIRuvrXPzU59ppG2+fX7i9v3r2//x3P0abVhqZGW
rkbCIa/Vxpqm4ypl53GQqy82JbGq/Op9Pq06NqlK47jCSqSmdsfpVZ53k/kdqnkjQ0mrg19/q7//
qf/1rT4fJiVmX0BC0uEcWxknv5s6uv7v3uDTmU+bbfhfwCbPxNCrKX1A56t0ly9+GEs8iB8eNKmo
7dJaeNCq+twVWVCrjytZYP/d1/i0uHVKTiq9lfbnWfwqa06o93/On/jTQm19usGGau0GfADLeUL+
mgAhzWYPfeSvv8cXd5f1aVUyw0haaM6xG8ympzvlJsv7Sw1alUUQezqp5xH156/f8m9/HyGmJ+0A
SPFnqirEVy2sk34468VbmwZQDGnyfTF5/Nvb+MN7fHpo8sjppCbW57OR6vTvr4vii67CV2/waUlc
s2LW0qoZzzKLNtP/TMu/uEzv++OvHvxP93GcMPQJc+5jzgZu40WHcZedOCLgvPbiDZNItzj++pcR
kr5frjXiW394dBT6f0qvxuxRjzSGQfl5SC/dxp1e0OrsR/eKMG7+4BqbwlNc+1pyb/qN2NWvnpor
7cCpPXZJv+vdXenF268+3t9u5B9Ll083q520kwzKsT8rl2Ijl1yyZPV9qXhuttX9h9I9EHB9fEO4
pbvt/XLE8vPF6vUOffnVj/Lpdx+lzowbZ6GW8Ed/9ZfVVU3XOeb+jXM2L7Tt4D+pQeiWdGwD/Hpb
25O+WKG/+ggW89CPP5I0D5JeTnV/lo6VO/t0NtMfRkAI9nH4Oe/qTXFhbaWt9BY9ad68zS4jP/35
xX0i3uIXV8H6dJ9ko4bsv+TWbIM5gFnjJqKq22feHQDJ/R6Dm7ue+8J9gPLrF0G9ta4ICfCHTbyH
PPece198HnEw+8vn+eNxNz5dEltymA2VLCnNRt+aWzP35wB94UVyVNxXmMVB5tn7ekdT72L2rPsN
XAh+on6bBbeJL4qEfxYH/xvd6+zXX43uvXZY/8ZUxX/+Prcnetew0daSuM2A3hZW7X/N7VWydwEM
IzkmdZsR/h9zewtkjvlezv9GvWf1+l0AjKmKA4cK18iS8UgR2PvJ0f0rhzcdtD/dT7wSoCRQsKaJ
sws7t/Zpd3dCic6RbQPzxPFKADe8z1bNVZIty4ek1QhEFVTQjnIepw+JiPBc942hvI3YY9yqKKYD
xEWNJGk6/7087KIq2tBIYZbZEtlWlTSf4D9uUiv9PoUtCTaCWzqWRD/kgmVqCaqpVC/OFZP1e0NQ
T5tJWxC7Q3DNcA5HPYmVyQPQzjvMOOWlJQJdKhHtMoiQFxkp6KHIGfjoET1mx7nGkzO7+Al/krgz
BJGKJL5EG09A4DGt5yWQ53IjdfMNdqXLWcjpEeKeR/T1KGq3hhDcjyjvC6u9jYUUv12qUyfE+VGv
bTPAeGT2dq+LEPBXUTRuLCHq11D3R0lzqztLQFonaFF4iF3bJvsRR4CixJY3zRMFBqRHe+UpnYWD
YIYxKTwFM103P2858tBBD999B8KBYAkvQp4QQlNgT3Dq5OAIvwKYw82KgSEVToZEeBowJmwn4XJo
hN9BEs4H+HQJKCMtGDBFaMIdQReVmZeQ7GGcwKh8U3U/VOwUFi83CH9FIpwWsdK9xEOpe51wYejY
MVLhy0BfiQDBJHZIeDYW4d4wsXHY2DmQbVdXTaGcGuH0kIXnIzFEKq7wgZBDfqfTuYeK7fg2VhEQ
YM4BRxQuddr2JnYSWfhKbHx7gFePXdVfTRhP+lzeAkkNKuFIUYzkwREelVK4VULhW3EwsKwYWZZm
ecTaHGAUetaF06XQxptReF8UTDC887yZscWMwh9TCqdMoyyoKfDOhJhoHOGmGbX2OxR6DqmtomLs
JXswlgpr01iDY2yWsiNremUUSFYhDtj6HI2SdahFkuH8HmpovQccajVUHSTwWKDs6TAaGvhPK2jr
eddrJIga2uRrYfvk6JCqGevDwq55CxrNmLR37UQBOhhcYjsKAQrG671WV4qrqyAMtNq6tRvz2CvL
zzxuMh81200extHRXMfNWoxnFXK74oDKpCu0im7+j3StHdzw1g9wKJELchWY3wjRr1K6awbVXOL2
FBII6KP1rA+VhbWNbrHbZMjKCXznDrcJrJoX/mMeCb6fooVWbfiW1+EVA9eBjNZexs09VJ45QI4J
1/zYqKW8WZl27KIBjQASASssD1Oqdj7tvqe0xntMjEV/EesSchngTD9lOczuKlmvkVHYaEuVPEYI
874o/2930qmRf7E7xS9d//I3OxP/9WFngpBpUlqrhuxYJoeuf+1M2j8QWTBL5C/0z8Tc6J9ctvfM
FZq47FdAYkToyr92Jp18C5vZ5m9Ks/+UPWK8t7z/qHTYmSAe8irskAaoEww0fy7+CGiRtTpv8iuZ
dcs1dCZGij59wysRbftGuqxjlNSYrU5Zrs6s00S2LFGNWgU6wzjbTHSFztW5I2UFJK8CXGrRnNrt
iCwAqLCz8yEw+3BTzMpuwlhZQGQG6FP4NIifOqP3TEb3+AbiTTfjQ7PS09IPP6003kzQLHoJmcyi
1Cx7+quJzyRayCjWuopg66QYdmnd7lrHOXbI7iuwDSvQZYkpItDDET5xdW+RvjqpDKCXVk/gc6kv
OWw4fDqPYEKMwArDAQ8JcoaWWarnQDRxdbM7gD4ZAzusj72KxF9LN1mc3oYjQIlZw7c61vN1SUac
29l1MJmFDCVfl4/E7qDhsCcezFIpXda3S0fLfxBsU28XlRlgEmE4lJbwrs0rHvNh9uVyklhM0lOm
w65OIjXbEM+Re3FtgQObq4XZkr3JpOUQGz1Gjim/xwIqHQrQxVCAr+MWI0ZpOwcFGYzLDPLklOpd
g99T7edrIlelzSD09UhagQHYb4ok/B5qeT3HqJ5023lKU+WGthPrUshIcCATm/AN7W4tkqcM0vqU
s54TgIXyOiG0AIZ+2shvIh1jh1CNCKxkWDZxZzLcDTXSSuKHOOXzRwstupVlzjOhHw8mivu61HTC
zkDVpBmMldyfotbVEwQvS6/gkk54H3nu6BE5JRVN/Bguxc3c6rNX2TXKFg0YckQPqSl7IPLMwf0p
5f/IynZ8pcj0bVENl1VlI3EP+d07DMvK3CCyqp+UIbno0+SiTSBaS2gAPcNkY9RVJrBOR4ZJIWm9
m/b1NtSqcwnamxGmRckCJiHqkrOcVk9N2iRBkzOFJY7CnwkVNyc+KEMsutH5uGsU+UpVO682pgIj
cnhso2HflfX9II3bqisJy6oIA5nJ6yiSzou60YElP+FzzVHc2PL4iGr+ZzdC7Enn7ZTUC6L+JndL
U0hW+FaLdVU1U+9lznhrZ3nQkwrAmWg8hVISLLKDZK68VIzySh3RIxlgrweMJaPIkhGl4wDXlnDV
FTs24h6T+oYbNAk9U4pDzBYkt5e8KMOq2kO6VTCoJN2gkMe3OJszfy405E8inFTLuu8zpIqpsgHa
zANimSbFq+04W6U09rGC6m4lVaF1VZJrXbt0EOBJM+XqrIUek8UpcCQbFy/2lWiO+0MVZikQEv3H
AH81GOLsR6WNj806vJLcmDJ+RSEQadPVMmBnTxMTxEdv9rSV1BGl6FAC94a33R9Zeyjb7Br36dxA
fSmLfm+UoPQDDV+JcT/KmW1vY73FyKODf2EKWiqoHuZ23dhDNCsbu5T02W1GxLc78E8LUkLNWJMz
GXXLcOvIBI7cTk4racdhHmiNGyQhPrarro6XWV/vqojir04hoVZ6pgdJAp29kdcXpY1uOuIovT6b
D7peDkErtWB3JPNoWDPZlPgZ0WWZr01VdbiqTPLaUv0xk0w0XyP2KkVezYNWcTNnpQ1HkeBRtOHV
cx3qLwREqn5vIypFI/YG/Qa9GXGRmLon7EHyyCi/R3W7ZPNpqTt/ThwaZLV00sv2WgqHY2FXz7i0
CdtDmDmDJumAK2DgNoid0eYDnhBDnnCMWPVLApDfFBGivWrEGw0IKVUuSkQ1PYcdNPx0ecpj9W1V
ZF4lMt6ysYB9kvjSelCXmch5A59W1N5kAiQhxzI+IdISjnlsneQsR1o4Vy/Md/Yx0XVkKtA+bAiX
c7kZz6aVIWA1HE4iknSNB1T1J1JtyEMeTowCCY+eQ4+rUO+sEmd8h41rq+kja7te4+1KLDj7eDcw
J9z1mb8a0YPaErtpo8YDZ8WZys6ciTcHFONkzk5bkcysc277GugqRtwkPhdzPW2sarqo7R6tkw26
J1Ksy2QqT/iRC0aV4aWDNa4rOmqz/sV0pmWjjtntwsmHCpLTWeiwgZBueB8OQ+cPU/kAK+OQShmf
cVgfkZ+hlx5MnXtgrVxDViWvrfqfnePcs0AHcg3csoh7V420Hb3CezwzWymxZg+t557z3NUIcMkx
qu8JGx06RfmsyzjPDJ67ERoF5DCl9Qy5Jc1nZEvop8glNjbFd5ftHWMRdsbSS2212XZGMnmJ3qHP
Ha6oRIJS7b+NBYyhrKG0HtBSLoM+bzK5GEnksBsE1wQGSBF/tTiq+GaGTFCSlK2JM3/fc0G9Ds23
XHcpnor+MJQcBRsTZ3s336OnlrE/sgmyZAVSskZbaVLIY3BMj0g1ACA8acdIUa9MhRAMqatFiIJc
7Fc114S0gCgFSBgk/2iIJJKreEi/SXKFZLYECsIixwJnTLu1UHkkDPtKbVEe2AowILOaX2GBPjCh
uOxK6xW90etsykHdmY9VFj1WUW36vZbsw6J+lCt7p+nt7UT+NcoVXHxL5sl5fFTb6SUq8u1gqT+d
bD1EQ3K9KoCQnV6+LXWxiEsG9C0ypP5Xdr9bww2q0H9fdt8NUHboMH6GBYr/+r3sViAb2/DIsXwz
MEbv+0fZjVmc6TE+ceM9mln0rH/HIZv/gFJMZrNsyL9X5L83hAyS4BzEkHSQdAbd+n+Ugqjaf254
GjKgQWDjMp8BJwkO9E8NIVzWclNSsZzXHDrNjGMPkh5zi6y3XHnEEdzmopAhlrQKT0lLTJahTJ3X
luMVXom9RUfJ7QwsQw5CqU5Kjtz0JyLVJrdSk1tZzn6MLP7QoUZUUhLx4OGkEnQlHIWyGXlFJ1pR
8sO0ms9qpz86TQSIJ3Z06O0QsRxpDQjtkHAXx8DBIHVZEakdCfEihl0+10t1P8Y4lau+Q9Nomt/a
pt+X9LJ6R3oISzzOmLOIUT+NWXzRV8lzV9mFmzjWFTvqa+5E9qbgi9HjSMwtrjca/dVTsaCYxTrH
waHnyWryCavcdL+oCECifgp0nax1NdXQlEwJYTqS/YN8IcNn/nfR9fkdiTh0ZUniNTL7pkqcH/BX
rhJjhtHLkcWVo7TfhNN0tuvxUc7K17CvnsIGymhVvsKuJmE9a6PNUE54g63iCgLbLkHfScrVc66i
kK9zG82dmeXuVFevk+KwXhFgVSwtEmEVh8WiF06QNCjjmFVdkF1zaPQQuQ+RPEndBks1BXI7HSLH
2QmP6rKOb4me/oRHe6dh6waB91hEK4gyiw/Jj+TIreFOE7lnqpySRTQ35rWJail25rccuL+PuRR+
Tih7Q5t2LoCyBz0ybvSePDU7ye70SH0bVHPcL4n4d8Tega4Nj4WER7uKMewYZjD0OG7DoU+3yCSf
Kj3NAnDIdDsM8kfoRKLl7A1X1iXXXLNAtlCP0mrdNn2MmSbDWDDU/GoAQZDOk+436JTxDUZok4Dw
bdjVxyQsmoPQE2Mdwk5gTOuNhWBzKo1gaHRS49bQ5pWgLMn9TG9m7dCzASBwDQvuq71yEy8dv2Gh
1hGpVest9ADetbRxzo5BKA+3q60dkomTlaXm7P1NGPlRTgsO7/VrX82PNknvrmXW32WFJMGyCr12
msHbyMnObFranFK8k0sp9SUrKz1ZrhAuyltFhtcLgcDZ9fFEgs9o/yzS5oJSYHTZxeoNrom9GRE2
pA50WKNivsdwciAjlxqgp2Y1tf57Nzi1J7eKid4ZJk4xm+pRLzPksFgoo32ukqToZ9n0QE5TO4JS
6OLkG5ch7C/VXgQymYmhBWZYyOWdhaSx8pEPrhoB1rmQk9qFdSWFcWJeLQ0mVK2Zoyfk6Jsu5xZy
9VgPzzXOAHBMg4gyY/OLdrHlRLdxIws/vjFfA0g4gBtKtA3UTg0psJ2v/myTx72HHYi7vklwjnq0
tPPC7xYN128Os8icm62caupjNpFgcspxMbHO5DFtVtN6lSPisb3MXFpmSXQanRWDvm40xJWpVnQn
91bePanEHlF9aauKRVwuzPAZ+3+sn2S1LSQ3d+ah/t92qbxvl4Kq/e+3y1vywJOlGv66YYr/+33D
ZILCIid8jOQGq+xzf2yYqvYPS4EIZ+BxwOb4YcPU1X/AVaF9RXuDycu7KfKfGyZ9Kkcg7MCesM39
H3tn1tTGkq3Rv+Lo9yJqHh5uR7QGhARixjZ+qRAg1zzP9evvSgYfY6vp9hUP3Iijfug4BkqlVGXm
zr2/vT7Fcqw/qaAojyKL13kqyjoW9X2aKE1u5Zc8Ff0s6O5LMzvvS5l4tNV5wHOdsqDe8UwTuLfD
gAmW3MlsPIZ8LMcJORgTfzBcJ+Xsa5C41ZqlC1iPphVXIXH2kdE31WkXuflDXov+s7gNTvzYGkj2
K3TZ547UUXMhZ3JelUl9VoSI1CXZpEGQPg8bMb/C0p666WnEZvFgS/4lHC/jzFNgVqie3y1G20xu
answbuOWUkfHGryuK9+Co5tmxcRqpOhQMYbsM1p43Ei1St3SlBR/NeQ4PfIMQLRp7labVnPkuS/b
wdwqnW5hhR0ubn6bX3Tko2Ms2QF2efmsxcIdo3cJm6Z7/Ah9/VjBomeghSaLGvqpauyIdc8J/VPM
6DAsLtwqLc8sn+yK5Sm9f+WHDociROMFdpiwptiGHApXbJ069Rb8VUE+gDNvaVaaEXvEwbEppWSX
giYe7sJWLZK52jmHNJX1t2YXa5tBsowM5baZHkJkMlZDA6e17rJxI+CDiOIxdEKOHNEp6CnOws1b
744nKZjK6Thu3MoftzjlfS2l4jD1gpVkUfJIFFIAnYE3u5R39AjZSjMsIpqEOCHUw0mU9YBRaQKh
PJVkUEWCzgtQ09ca5L42IQ8VFV90K6Ai5Sg3GueZo1yim9yXu3ZigIk9MsPKvLJpfVjWUu3c5HJh
nvZOIc8SNXNkSFhGdu1WMmzLNnbuJLaplRYTtuV9chbaijQr6xZSqET5a97FRVHP8PuE/itl1XLI
3fSSZDGYXA713zyOCbPRscKbnizIiRXq4RqdSXhLc2M27UaBfIjG7HZseumYhxeiqZV2Z6FXul8x
eelu0rCksJT1wZWEedm538blNMW9Jp6luo4UvqpwBWxDx6/JrxrVzCPKtKYegN8jteW0QjeOHmsr
q++0C4qSNmFSZirbPMvHwyKAxOtwFJpALzUmfx9dntZiEvxvrMVZvEl3wKx0/uqnlVi0dykmxp7P
2PEfFQP1QKdkQC85zd/iPPLX0cU+IGRQSApo7MUoodCRvBxd7ANM2y3YUxoybtHa/kcrsS0UKa9W
Ymyy6XWhOZ6ITrVkbv1nuYhuJ2FJCmA4s2uvPAeXmVwGSm59zWJdXQ1dFN0OSm0d2nUrr6kWuqjZ
Wp/6Yjt+tpyuvvLlLAZShPmu6WTu3JLqEsRz4UN7kU/j2HfWraa4J4bhlBdaX/P3rS3rMyxjRPML
xT6JfHevjgVxFh1/9BpFgIHlFNZR5+KlyRmozKv+W+L73iorhAeyVIczKmcDCXs7pxYwfHZU7GrF
CuUm1gomlM0iKXXHaZQ58zLraAuoHRdov3wWYd9LzjeKpo5ZRBM/MIAYi1YQR6sJWsNRpIPCEHNE
pdNxYIHBMY4eudH81u89F/xoOw0EwjEjCdKHabRUR6eDlWKp557icRQZVkGjlYd6nl4YGQ1zgVxL
i9r0xtXoNdrK92VrHoMOVaSiWgZAVmay7+uLKE71eauqLn1XrT0h3ciBI8m7iZu1F2MZQoiMq3hC
j+s4kQwDuCXkZtVzTkONpbcdGB2pYc8KulybJYGCdQ5N9LPB6vJl4VerRg2/FbnVT5IYdDVKinBO
99jK94qxnrotXxhZmnIWS5F86JrKUcghYZBKb9ob7SKpI453Y5NvcO0K132tb4G1w2mWPYgpBlXR
jnpRFHpXpmZdJJan0aHQL9Q2/qyGXe3g21sHEzQSZ22hnGcq5qJeZZHth/rHqadnFZ5gGDl3wV9T
8YxojW51b11V5K+tNDmuNGVrGFlDY1p31SKbQFzBUSKSU6CQiXxmec4R5+8FMe9J2DtreGYLX2kg
P8eeMjVdQmoXHKMXnCUjxwezTg4d3MoRZgxrg+xxHkk3YHzZ/3v9mDZ0ftK43xK1vNM6WDKOb9/3
FjgEY7gpQEkCm84RC+UVTTcpTemnRUT5fqpqZnOv2wKmoxkgltysP3E69nwUG0F0onA+aWitIkuY
O/i8W0rZn3i4ii7/XoyfFmOi2DcW43qTBlW8aaodoTF/+WNBlg/QFQknQtWE0/fKWouomR9hkWBo
hvIYlb7kklh1aVZQHUem7MdRmoD1ZUG2DliKLVM0kZoAN6gJ/4G4SNN+W5ChF4KNRt2kgCwkEn+9
IAM00qKyj7OzhqrbuA7V3AhPST6F6ryuk/jcIidRT6HGnRp5cQ7C914nOJ2XanLdKmCMEyU5KdTy
Nh6yVVyll0ESzGpJBecWumvbMNZ5T8E1tbqFp2FVW1bRCdHSlzFMtxgt9JOsVauO4152gVH9oZLo
pJTpwmxobpypOriAuA7XBJ/gCGxayrU2Ve6wVZr0befFhyA1bGWJPUcZrOCi1d4iUiQkFnLrmCBl
cy1Eei9RpJ6YdHJbgZUsCstZmZgf69eaW6OgcZMubAB0EPKelGFQ3YadS30UUaF62DZtOE7rJjy2
qtQMp7TcVCTy6XKcOY+mBlFqtRB4Hs0OEo5AHgDg/q4xEx9n5fSLJdwRSAEs7Ee/BIwTcjdzZ1aH
l0IoXBXYHtZsP8VUrWpgqFgvFKNL3wfl68xtb1TMGaRyXNaWdNlSJ0jbbok2ZdZi5tB3BvYzeGLb
2DyUsUohNtjkUnaM24NEFqxZ02tHcI5FhO1DGygd5bJtpKWJiUTqFqe2ALtp5SSRuiMMWleUoo/I
LJ54Dr3bmFE0WXknY07hwNtXMaugdAhIzTpyFe/M9AkPizi/irG3sNJgFufyosP2oqwpe/TdMsQO
IxEQQ+wxHLuipx+/DDvBdTZ0vqdKNtcx1NAw1qASuNBzzBkALrsYbzhRfVtixGFh5pxjzEGD8+mY
YRMKqw7t1Wla6UcVRh5jl61bjD30JD3lu6R0RmkQ44/QzU4rjEAwFyU9Va9CI1zkpvxNNcJDG+OQ
nMSKl8GLEF+9ZyE9KJVpkCgLG8sR+j/rSYMJSUNaYSjC09JULwoUPvUo3RiYlpA44xummRgW5bKi
M5J+iImDzQniJ8ok8Re0BzeZ7F/CFzx0c+MEuuihik2KHLbUTQflpMNApeUmpg6WKhHWKi4WKygs
pqWPPwfWK4Tixx1WLFmF/g464ba0VBr/+stSuLa4XmtcWBi5BGaHo4urrwdDxa8xpq81iWKMXwI1
03CB4UA7MfriTIYX3Sk8Uo2jL2N0V9NCQKVz6NIDlGkZ2rSeaCcW9OleYKh7LLpb+JMzGk+/1eHA
4weyOs/dRS8g1pLmfqMEvO4E3tpOmusIWYYm4XgZCQQ2DdTwHR+x2AKQLflUD/NWSvGDUNaurl/q
AqctoU2ahD3fOIeL8xDmdqUn9DkB4c79SAK2i99w0SvrGlI3POupAQdHpiiPVzVV0kAlgHIa+N4u
7WgpxG/yp4jQh+o4hgVOO/OJBhtcQWuRmMVpLqDhXZHcw//kyxilmdoBFiefyGDBGjdie5nVwMfB
iWqTVADJXYEmlzAvz2TkbKQzQV7DL4cdgi4Aojlnua81mf7JoAI7l5LxtFFwJoGCbgocumRDr85B
SfSBD0o6bC9N2OlgUlcSOTRbauJD7HDI7QXdmhT/MGkFeh2IZT51BI5dFWB2ivjFYdgMJ5mAtpta
cBZFxU1rNni6+P21Zxo876CRUojvLag6VyDgEWhC2ynDG0fg4R0BitcFMn4U8HjfMKO/k2JPSTGh
2f73e//11t8kO6Rb4q9+7PvKAScm1eCwxR7/yNT9cRAT0i2OZ0LMi0EUR6qXGhJ5L+IE9mL2Y7b4
x8rTy77vABwGLiZSZuIcRiLtD/Z9QxHdCa8OYsIyShHvBXMAZe0vKbE0JlsWcxtnreNH1SzUtBvP
kDHOSaVVE3tzpdbHqSFqvW7bLPtuUCZZAv1HaZ1VbUTmNEeEdeiFsFekDPp1mFCpVCit4Bo9D5v8
3lN7BV593fRgtc2skWaa1HyuWKwvB+yTFmZpuigNB4j/vYXOFHRXDhhgDUCtmRieSuuhpdzVbvVd
psRwlHcpDkyhgqw1q6I5xfvLQekvKBibF0WeoBqKOrwJ4xRpP4kzcsBCL0wKHepF7gBaT+Z2Hx2G
XiMdKaHlzkMElRO7CR6UVO3x1Gmh8NZM1iOzcinP56M7qTU6vSM3Vc5cNaS7oUn5N99JjyxgQJOc
tx8DqgalBXQRbVmJzsgBJKaJkrbWrWPLPQszf9Wn6lFdspwTvW9quBrHpufmbNGtQQE6vMywcSYA
Om4lmU4RU4MjkBTDYhTTu2zwOGyojJe+iR2GLd3kY3XllCVLpWwvjWI8Lzss6NH8fdEK6z4rs9OC
SuSkVPwVYOlzo3avvRZUUofrTot/VZnrS7lx1kQySIArycQYSbcA9Wdfwy5e4QF124c1OF9H+t57
NnyRmsJU3H4zUmebp1axVHSI6GFa2+iLGJY2JrzSfM8/CQKcsCIwRN/UNDu3h/AzlggJTje0QMap
0c85fLMoZyinxqr6Qjnqlm13mulqNo8AOE0GL8AnIy4+ZxoGX4kMk59ygjer5P4aF3nAyEK3E7Ry
PU9HpZ2asZThJN+c50LoQ90Ca020P3pef+XY9pB4KTVJTXnIhUwIprMwClMJCJEQwQ1tD00hK4Kb
5PH2GPQ0lCMgsQj9USCkSLmuLSUhTvJIW0w1O2MioFwaUDDpKJk0IWlycP+aK2EVzRqz+s7xy+Ru
h2TK3M+nuZBFBaOF45nrTMi/gjcJmCNun8WTVgiqXKWYEuJqkHHahdciuvLt/kxDhaWixvJRZZmR
vZRQaTXqMklmbrd2uCakvatcCLpMlF1RYn6xnOQMyR3lRS0cZi4qsAhUAmC1bZXWX4GbyAiFSTlk
Ye7MK8spp5lTO/DQUHBH+Rpw5aKSkpsK3VlUeCd1kidHCoq0AOywikJNbzrwEEK0Vvb9WRKrRC1y
fOsjcDNMcsCm3FnLsLBOVCc5DRDDxUIVh0WLisdHhAea0Mx5Puo5JHTBskFQpyKsg9p/Gwulnc32
PjER3+mW8aUpqzNVqPJ8MiqzXij1IFxAoxPqPV/o+KSmXnjEfjjFjf1UIovUme4XvNFSfGRRoY5U
EkehDERaQWNyHc9yhIPuWG4LoSRUx1hYsahHJBRGIgf0hg7DOm2RIKpIEesO81RNqBPbsNJhfZTm
UYR0EbXAsY6UMfB9CzQt6sYYmaOM3HE0tWsX0SGMOJSQBWyMCdzpS8DupGMRWHlaeqEK/aSCkNJ0
mgUh5YAc0XZhD7QXJaJLF/Fl61dr+VGNmdurQOgzXSu5iBFs9lYgrXwknIHQclLuXJmIO1svRs/Y
q8YUC/J4aqZdNI+FGnSU/TX4ZiqhpAVmUhl/90b3ushJlQwKLgqa0JX2fvhQ5tQcMqodstCekldS
p6nQo3aeNB7VSFQtIaIZi/FiEOpVSehYI6qAvRbMGyFwRegK3bAlA1WuDNvAelDxvWkhdLFaR+0w
NjPj0E2GrwniWXxyN0XVB+Rg0NXaCGzNJrlREdyOVsafqkDDW/2wRJKL9d4xle+jsHIhDfIQkdLm
TGcg5B0s5X5E2Gt4rNk9ZyVcB+eFUm7Raa5rpMDwguaW0AZXA76piIUzIORgvuEBEa+iqz+ykBXL
Xn2otzwEUK1ZufMJiX17Zggtcj9Y1zni5FE3tlHNQhloZjanUwTyN5WiGkkz8WUJ4M85Kx00Ryqy
ZyrPFVh2TrCWkOu0KsoH0pAlaBt4syO098HbsHeW8yzwGxgVmEMgQjHPbBtvGKod6qKsyq9BpFwZ
aRNPyfndKFZ9G8IKm5SsC+QsEeri4gWMoVcQLNt3GoSJRemUh9zfXRlCn0/t7KFC7g9DGYV/So30
NI1CY+ZyfGfPg8HOz7ocYKNDOqtGcKBxasTTrXlwRSpMtooHDd/IMHQqnDNcvD1ad63kZjPRvcE/
dDIOgh45OdCN+PQxy4qpaxu0aMvMsjxAu0yXUtZ4RwP+yHOLdZIyM7Lt9GrIRn8RSOG3yAK5Ry1B
wwNggdPzgjiC78BtrxQjV/DjKazVKFnLvBaGcilWSjGhEe5M44DmVKnO8G6aeUPyHUJFxrmSNiFA
fJNK8k5kLYDcV+ffbSlF8ac7t50weJQKyE90jmwiH+hkDupTBt98UdrpmtW8cty13voLPyBcBiGH
7Ayws1OcZnGc+eakDGTP4wxQcNiXFafwn/p3/26BMN4saNw2d7ui6NflDAJearZY0JuKJrocfkTR
ygEJNRmenQY961VrnsNPHBB0lvwj5/YSRdt4udr0VPAj8l1/GEXjA/JrFE0obiHoQvcFbYWyy+vs
WVyXtYzDjHxWh9lXdh9jYUaadKxC15wgMcvJyXdYh6UYNvYRZNCMZjJQOPqqzAz03yk7X6A7xklJ
2IKiPgJf2ZmLtmuuYrvP1+UocX4mKqzte6WN5JmadBQQMPMZzW7puPZhYOGEliMAaoQ9eOqIyKPT
b7q0PNIDP70uPA9/zjy/N0E8ZU1+Uyp6PuXIH0xMr7iPByeaZZXOttl1R33e90DqMz+9kDV7oYS6
fi5p5rGLWn1ed7I7TToJaApeFoRiBVnuemM13r2b2IDiB7qLvCEvlsi2sXPPpEvsfuJzh64twm+O
oiDa4L0OljVzAxNvVgn1e+oORDk6phKO9lAF5oVvkJqqA9qu/OhroGrXdebkMylUt3lEBOmO3k2J
ZCagmtEgP8ekSTlyC+cB1VoK0suHa0l/hUwpFHB+knrH4ehcK3TT4YaAX0Opyte5FaoEoPqq9vN6
GrtuCnrG2AxNBWHYqr5SxAZpC8IK5SdadV0+Z1FXAOQGF4EDXltKQPKthgFQLcf473KZr2RTpKGC
43bIvKUWVpfI59kdDBmNQZlUU8uMJyHR6sTK45k1Ul8uJIkqesphD//0Oq4iWvXKZB6klX3mqPmw
iFNbnbQm9iH0RtL4Xm7VopUnzmh5F1ITycQ4xr1DXeK0GNTvMcUC1imTKokfqs5p7FNLQSdLMiMC
tQf2KDpMUdqsPFxvfZzoEJ/aZ5iqEUKaFKa9IYM5TEqjUhDUleopVdwUVwzc3euATkmlwZ9OMUCF
9a0OAa75Zub+5yjCyK1siGpVP8UhGDeCymNw45RzgV1RswsGejuyu4SuOXIk+kpPpQvFzr/r/jCH
sbxoit6eppFZTuW61JZmXCxzM1n1tQHxTDsblOgM2VmPhwtdBnIWfpE798ZIpOqI9RmgsGTdlLUH
FVVRT9xchahow5gl+hA+mfJlMtQruQsWRRReBoE3N5v4tpPLO8qDGRYhtCENVXtql1EzK03280xO
14bN4Bq6tOJgQ/+2LAz7nCGapZ51QvPkva2O2qyqhy+5pqIcUcDPVMiqsnoESgoANHJHmWSgfNrF
3Z3PWM9NLXeJqoICfWX+VUvztZNVc9PODkNkG7Av3ftaxmqjRGEpxV0xpfqTUd9qIIpGBScxcLXp
YDzUnbHuCjqpEjs8KdxSnQZ5Ql1KVeEzVt/ssDgGon+jRONnBbot98f+rNPq2jm4H2OSxQ3PvLHt
QC9GYLwQsjWjfFk52rehdvIzlBrxNEA9v5KiQVpmCUfGFFlLG9E3i/7Dz6NL20yNaZ6QS5vomlst
XYurjKVvHCWWPgdq3ZBLkGLOKupFKKtY4iDJQQhYUUfMrGgKbAX9tx23U9WzOB5TZIStHc/wYSQ6
88iL02CF/a18T5fYM8Tk/8E++3yLO73Of3SDi5+eZ3Ctr7P5r27p/9UvvWSEdl/oj8zTVeQBrzJg
jzf2aN/+5nXiTQ0t5QF7ds05UKCgORaCgscXV4wzpDZPP5YUpGGqbCFGQN4l3uunMfp3o/D2B7zc
VugY3/6dN2/+V1G4aJ3ccxDsAxo4VYWc3dMgkGd7PQjyAdGNI4RpH2EQfi5mIpKgWvjHn58P+Ncz
ACWBFCjqPmf3M4Cenl4fwIN0/z2+PsIg8B39+iQI3tcfj4T4rn8eCgJOFcwrC5h4/TodGApQeJaN
KuZDD4XMx9pzKGiiYPbr9A8/fVLC+teTAiIHj42iPK9CH21lELe99yBYB9TbadzmrPL4YhF8PQgY
OiMOsETxn/H+aGMgulz2HgOHHYC1z0R79vgSM+bVFiE0wjbJ62eV8gcchP33SZtKkZDr2Yzn608v
H1gk3By4ZI+j8/RWH3AMfpWQ/3msgOCFTiYk4pjliddvK4IqZC82PHl+8jFnw1MQ80Q+/RGA/VHA
ZB9YOLGDoH8aA7HG/PY8iM4vFOwf+3l4+o72GQqa6WiUM8AQPY/FL0PBZmlhiwq36enZ+3iTQtk7
YqAaLLJeuq4SGr5+EPQDcLm0IdLW8Pj6oHNC2X9xVCl7wywhSf+0QxCRvxoKxTgweE4ocH/sOaHs
f5QwDjQK/wRNT590VwApFlHSpB/1PKXsHzGYB3w8wiKdw8nzo//6eeBAwc+IHD/sIOy/WzoHMhOC
cwIZafHaETYh51dA83yIQyW39+t56vnb2WeL0A/gk9Gx8PIk/BoyKPYBdnSEVqJ9gddHjZ6eI5p9
hsLk5KhquMk8h9F81FeTQpVRHBE+ccj+oDuF+nTI2WcQrANNBuAI9eppYfj1eWAQAK84PA76h34e
xG6/5/maJ194MbIIPn5SkcZ6/TxwtKS3El7F07B/vOjpeQvb53ngbEmHETK250nx2yAonDk4WOrO
R10kRblzzyeB7ltxYKAtd/ekAHVB9wHGpB92eRRODnsOgn1A968Yhuck5K4nQYA5UPM+vT7oIin4
e3sOBTlGulA4Yj6fq35LOtF5zTjRQ/hRz1WCxrLnIGjgXWTMmZ/j6N8DabYSIR6g8fyjPgn7b5f0
fCIxJih4zjb/9iTQneSI/3HkEK+PGj4JI+M9nwfBa4b0QwT1Y/6/3i4ZClmVOYr/wU7xX+ypP2p6
Ux+/4ceSH3rMx5TRUynrP/7CS63r9wv8FHE/1nFe/eb1kG+frv0Ul4v//ufmATjzLKjqMriv1cd8
808/fck/P77T898/f8Tf3/zVm718rpd/PAq25aa8p8D/WON8vtHTTULN8F8x//ew+fW88JRv/+tu
/ucfr2/2pyfg7asjP9v+enERHrz8m/hg/9eLJ5uHrHy50PLhf/7x1EogJs7edz6hV2nXjbMM7H3t
6SbetHwl1cu1frp35tb+18/ipvrtK2XUSQa8w8XTutx8mmY7WbqCjLX3W8y28afTrNw5/qwHe19/
Hn+aZSUPz8u1fhp/FuW9r39YovHedXGiy70vvoi3afpynZ9unI1z72sfNcldFj/UL5f66/Iit7r3
5ZdJvi2DTfxyqZ8u/x5TdpkOOwZdeY8Ze7wtd4y5yDDuPSjHQertWAhE4m7va59soh1rmEjgv8Ol
q2q7a0zeY4KeZNWnf6XeNt7uGpn3mKLrzQML8Ms4/PQgvscUXW/KYNfQvMcUFdfOs12ruxBM7P21
rrfpQ3Yf7Fq9hDLgHa5f3m8fXi7017iLbNT+F8+495fr/HTt95im62znmLzHLOXS9bbcDjvu/D1m
6ukm3/Ggi5zX3gN+um03v8eOUG3eY4qeYe/r7Vi+RI5m7zs/jzf32x2xo8h9vMPFm2RXcCeyCXtf
/DIgdKyChx0jIw7qe1//anNfciRI6x17qfYes/Rqk36abKE47nqD95iqT29QppvyYedCJvwt32GY
0k+zYOvt+hDvMWvFhzhkBtwH1f2u93iP6SveY5VtimbXbqW9xxwW73DSBNWns7ugynd9jveYzOJd
1pt6u+v67zGfuX69+TTZlHebXTGD/h7T+uk9pqCSdyzW4Ivf5YnlU7xhzvWYHNjjPH71lr/K3hcn
h7FzaN5lMr/N3Nz73t/CyO1/cUyadj0z7zJ//xNzae+7F2mWHfuw/h7z9k1qxL53fk2MH9Q7gjbj
PSbrm9D0vW+9IUGU7MrLGe+x/35mc212zVXjPebqLS4LL6vhXzG+sPDbe09/ozvy7SHflZb9oR/+
PVn70jWx689e56LFb9zH2035z/8FAAD//w==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microsoft.com/office/2014/relationships/chartEx" Target="../charts/chartEx2.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77</xdr:col>
      <xdr:colOff>335679</xdr:colOff>
      <xdr:row>102</xdr:row>
      <xdr:rowOff>0</xdr:rowOff>
    </xdr:to>
    <xdr:sp macro="" textlink="">
      <xdr:nvSpPr>
        <xdr:cNvPr id="4" name="Rectangle 3">
          <a:extLst>
            <a:ext uri="{FF2B5EF4-FFF2-40B4-BE49-F238E27FC236}">
              <a16:creationId xmlns:a16="http://schemas.microsoft.com/office/drawing/2014/main" id="{7D22917E-EA13-405B-91FC-2280385A64C2}"/>
            </a:ext>
          </a:extLst>
        </xdr:cNvPr>
        <xdr:cNvSpPr/>
      </xdr:nvSpPr>
      <xdr:spPr>
        <a:xfrm>
          <a:off x="0" y="0"/>
          <a:ext cx="47607901" cy="19191111"/>
        </a:xfrm>
        <a:prstGeom prst="rect">
          <a:avLst/>
        </a:prstGeom>
        <a:solidFill>
          <a:srgbClr val="EDC8F8"/>
        </a:solidFill>
        <a:ln>
          <a:solidFill>
            <a:schemeClr val="accent5">
              <a:lumMod val="50000"/>
              <a:alpha val="68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4</xdr:col>
      <xdr:colOff>317500</xdr:colOff>
      <xdr:row>102</xdr:row>
      <xdr:rowOff>95250</xdr:rowOff>
    </xdr:to>
    <xdr:sp macro="" textlink="">
      <xdr:nvSpPr>
        <xdr:cNvPr id="2" name="Rectangle 1">
          <a:extLst>
            <a:ext uri="{FF2B5EF4-FFF2-40B4-BE49-F238E27FC236}">
              <a16:creationId xmlns:a16="http://schemas.microsoft.com/office/drawing/2014/main" id="{5616FE8F-A073-6421-4847-EB91C333A0E7}"/>
            </a:ext>
          </a:extLst>
        </xdr:cNvPr>
        <xdr:cNvSpPr/>
      </xdr:nvSpPr>
      <xdr:spPr>
        <a:xfrm>
          <a:off x="0" y="0"/>
          <a:ext cx="2955192" cy="20024481"/>
        </a:xfrm>
        <a:prstGeom prst="rect">
          <a:avLst/>
        </a:prstGeom>
        <a:solidFill>
          <a:schemeClr val="accent5">
            <a:lumMod val="75000"/>
          </a:schemeClr>
        </a:solidFill>
        <a:ln>
          <a:solidFill>
            <a:schemeClr val="accent5">
              <a:lumMod val="5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nchorCtr="0"/>
        <a:lstStyle/>
        <a:p>
          <a:pPr algn="l"/>
          <a:endParaRPr lang="en-US" sz="1100">
            <a:ln>
              <a:solidFill>
                <a:schemeClr val="accent5">
                  <a:lumMod val="40000"/>
                  <a:lumOff val="60000"/>
                </a:schemeClr>
              </a:solidFill>
            </a:ln>
          </a:endParaRPr>
        </a:p>
      </xdr:txBody>
    </xdr:sp>
    <xdr:clientData/>
  </xdr:twoCellAnchor>
  <xdr:twoCellAnchor>
    <xdr:from>
      <xdr:col>1</xdr:col>
      <xdr:colOff>45425</xdr:colOff>
      <xdr:row>15</xdr:row>
      <xdr:rowOff>114986</xdr:rowOff>
    </xdr:from>
    <xdr:to>
      <xdr:col>3</xdr:col>
      <xdr:colOff>271636</xdr:colOff>
      <xdr:row>18</xdr:row>
      <xdr:rowOff>57964</xdr:rowOff>
    </xdr:to>
    <xdr:sp macro="" textlink="">
      <xdr:nvSpPr>
        <xdr:cNvPr id="11" name="TextBox 10">
          <a:extLst>
            <a:ext uri="{FF2B5EF4-FFF2-40B4-BE49-F238E27FC236}">
              <a16:creationId xmlns:a16="http://schemas.microsoft.com/office/drawing/2014/main" id="{C9F42664-66C7-4FA6-87E1-F4C895011606}"/>
            </a:ext>
          </a:extLst>
        </xdr:cNvPr>
        <xdr:cNvSpPr txBox="1"/>
      </xdr:nvSpPr>
      <xdr:spPr>
        <a:xfrm>
          <a:off x="304129" y="2937208"/>
          <a:ext cx="1990100" cy="50742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rPr>
            <a:t>🛒ORDERS</a:t>
          </a:r>
        </a:p>
        <a:p>
          <a:endPar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1</xdr:col>
      <xdr:colOff>45425</xdr:colOff>
      <xdr:row>29</xdr:row>
      <xdr:rowOff>107856</xdr:rowOff>
    </xdr:from>
    <xdr:to>
      <xdr:col>3</xdr:col>
      <xdr:colOff>158672</xdr:colOff>
      <xdr:row>32</xdr:row>
      <xdr:rowOff>32250</xdr:rowOff>
    </xdr:to>
    <xdr:sp macro="" textlink="">
      <xdr:nvSpPr>
        <xdr:cNvPr id="16" name="TextBox 15">
          <a:extLst>
            <a:ext uri="{FF2B5EF4-FFF2-40B4-BE49-F238E27FC236}">
              <a16:creationId xmlns:a16="http://schemas.microsoft.com/office/drawing/2014/main" id="{77E0652F-C7EC-481E-A14A-BA3672400074}"/>
            </a:ext>
          </a:extLst>
        </xdr:cNvPr>
        <xdr:cNvSpPr txBox="1"/>
      </xdr:nvSpPr>
      <xdr:spPr>
        <a:xfrm>
          <a:off x="304129" y="5564152"/>
          <a:ext cx="1877136" cy="488839"/>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rPr>
            <a:t>💰AMOUNT</a:t>
          </a:r>
        </a:p>
        <a:p>
          <a:pPr marL="0" indent="0"/>
          <a:endPar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a:p>
          <a:pPr marL="0" indent="0"/>
          <a:endPar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1</xdr:col>
      <xdr:colOff>45425</xdr:colOff>
      <xdr:row>25</xdr:row>
      <xdr:rowOff>130341</xdr:rowOff>
    </xdr:from>
    <xdr:to>
      <xdr:col>3</xdr:col>
      <xdr:colOff>192807</xdr:colOff>
      <xdr:row>29</xdr:row>
      <xdr:rowOff>23192</xdr:rowOff>
    </xdr:to>
    <xdr:sp macro="" textlink="Sheet1!B4">
      <xdr:nvSpPr>
        <xdr:cNvPr id="17" name="TextBox 16">
          <a:extLst>
            <a:ext uri="{FF2B5EF4-FFF2-40B4-BE49-F238E27FC236}">
              <a16:creationId xmlns:a16="http://schemas.microsoft.com/office/drawing/2014/main" id="{648FDC06-0F55-46C5-AEE8-AD2BB7B22D68}"/>
            </a:ext>
          </a:extLst>
        </xdr:cNvPr>
        <xdr:cNvSpPr txBox="1"/>
      </xdr:nvSpPr>
      <xdr:spPr>
        <a:xfrm>
          <a:off x="304129" y="4834045"/>
          <a:ext cx="1911271" cy="645443"/>
        </a:xfrm>
        <a:prstGeom prst="rect">
          <a:avLst/>
        </a:prstGeom>
        <a:noFill/>
        <a:ln w="9525" cmpd="sng">
          <a:gradFill flip="none" rotWithShape="1">
            <a:gsLst>
              <a:gs pos="0">
                <a:srgbClr val="EDC8F8"/>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effectLst>
          <a:outerShdw blurRad="50800" dist="38100" dir="2700000" algn="tl" rotWithShape="0">
            <a:prstClr val="black">
              <a:alpha val="5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indent="0"/>
          <a:fld id="{FCDAF11C-5C85-4D1E-AB2D-0EDA66B8D492}" type="TxLink">
            <a:rPr lang="en-US" sz="4000" b="0" i="0" u="none" strike="noStrike" cap="none" spc="0">
              <a:ln w="0">
                <a:solidFill>
                  <a:schemeClr val="accent5">
                    <a:lumMod val="20000"/>
                    <a:lumOff val="80000"/>
                  </a:schemeClr>
                </a:solidFill>
              </a:ln>
              <a:solidFill>
                <a:schemeClr val="accent5">
                  <a:lumMod val="60000"/>
                  <a:lumOff val="4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rPr>
            <a:pPr marL="0" indent="0"/>
            <a:t>11997</a:t>
          </a:fld>
          <a:endParaRPr lang="en-US" sz="4000" b="0" i="0" u="none" strike="noStrike" cap="none" spc="0">
            <a:ln w="0">
              <a:solidFill>
                <a:schemeClr val="accent5">
                  <a:lumMod val="20000"/>
                  <a:lumOff val="80000"/>
                </a:schemeClr>
              </a:solidFill>
            </a:ln>
            <a:solidFill>
              <a:schemeClr val="accent5">
                <a:lumMod val="60000"/>
                <a:lumOff val="4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1</xdr:col>
      <xdr:colOff>45425</xdr:colOff>
      <xdr:row>22</xdr:row>
      <xdr:rowOff>142520</xdr:rowOff>
    </xdr:from>
    <xdr:to>
      <xdr:col>3</xdr:col>
      <xdr:colOff>201689</xdr:colOff>
      <xdr:row>25</xdr:row>
      <xdr:rowOff>31721</xdr:rowOff>
    </xdr:to>
    <xdr:sp macro="" textlink="">
      <xdr:nvSpPr>
        <xdr:cNvPr id="18" name="TextBox 17">
          <a:extLst>
            <a:ext uri="{FF2B5EF4-FFF2-40B4-BE49-F238E27FC236}">
              <a16:creationId xmlns:a16="http://schemas.microsoft.com/office/drawing/2014/main" id="{C913085D-A636-4328-A709-87632F83D266}"/>
            </a:ext>
          </a:extLst>
        </xdr:cNvPr>
        <xdr:cNvSpPr txBox="1"/>
      </xdr:nvSpPr>
      <xdr:spPr>
        <a:xfrm>
          <a:off x="304129" y="4281779"/>
          <a:ext cx="1920153" cy="453646"/>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rPr>
            <a:t>👕QUANTITY</a:t>
          </a:r>
        </a:p>
        <a:p>
          <a:pPr marL="0" indent="0"/>
          <a:endPar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a:p>
          <a:pPr marL="0" indent="0"/>
          <a:endPar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0</xdr:col>
      <xdr:colOff>198438</xdr:colOff>
      <xdr:row>32</xdr:row>
      <xdr:rowOff>119063</xdr:rowOff>
    </xdr:from>
    <xdr:to>
      <xdr:col>3</xdr:col>
      <xdr:colOff>456406</xdr:colOff>
      <xdr:row>36</xdr:row>
      <xdr:rowOff>119063</xdr:rowOff>
    </xdr:to>
    <xdr:sp macro="" textlink="Sheet1!C4">
      <xdr:nvSpPr>
        <xdr:cNvPr id="20" name="TextBox 19">
          <a:extLst>
            <a:ext uri="{FF2B5EF4-FFF2-40B4-BE49-F238E27FC236}">
              <a16:creationId xmlns:a16="http://schemas.microsoft.com/office/drawing/2014/main" id="{2B5B238E-1AF9-43F1-9CD6-4244B999DD45}"/>
            </a:ext>
          </a:extLst>
        </xdr:cNvPr>
        <xdr:cNvSpPr txBox="1"/>
      </xdr:nvSpPr>
      <xdr:spPr>
        <a:xfrm>
          <a:off x="198438" y="5834063"/>
          <a:ext cx="2282031" cy="714375"/>
        </a:xfrm>
        <a:prstGeom prst="rect">
          <a:avLst/>
        </a:prstGeom>
        <a:noFill/>
        <a:ln w="9525" cmpd="sng">
          <a:gradFill flip="none" rotWithShape="1">
            <a:gsLst>
              <a:gs pos="0">
                <a:srgbClr val="EDC8F8"/>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effectLst>
          <a:outerShdw blurRad="50800" dist="38100" dir="2700000" algn="tl" rotWithShape="0">
            <a:prstClr val="black">
              <a:alpha val="5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indent="0"/>
          <a:fld id="{F2C4F928-0845-49E6-8195-371ED93D5145}" type="TxLink">
            <a:rPr lang="en-US" sz="4400" b="0" i="0" u="none" strike="noStrike" cap="none" spc="0">
              <a:ln w="0">
                <a:solidFill>
                  <a:srgbClr val="FFC000"/>
                </a:solidFill>
              </a:ln>
              <a:gradFill>
                <a:gsLst>
                  <a:gs pos="21000">
                    <a:srgbClr val="53575C"/>
                  </a:gs>
                  <a:gs pos="88000">
                    <a:srgbClr val="C5C7CA"/>
                  </a:gs>
                </a:gsLst>
                <a:lin ang="5400000"/>
              </a:gradFill>
              <a:effectLst/>
              <a:latin typeface="Times New Roman" panose="02020603050405020304" pitchFamily="18" charset="0"/>
              <a:ea typeface="Calibri" panose="020F0502020204030204" pitchFamily="34" charset="0"/>
              <a:cs typeface="Times New Roman" panose="02020603050405020304" pitchFamily="18" charset="0"/>
            </a:rPr>
            <a:pPr marL="0" indent="0"/>
            <a:t>649020</a:t>
          </a:fld>
          <a:endParaRPr lang="en-US" sz="4400" b="0" i="0" u="none" strike="noStrike" cap="none" spc="0">
            <a:ln w="0">
              <a:solidFill>
                <a:srgbClr val="FFC000"/>
              </a:solidFill>
            </a:ln>
            <a:gradFill>
              <a:gsLst>
                <a:gs pos="21000">
                  <a:srgbClr val="53575C"/>
                </a:gs>
                <a:gs pos="88000">
                  <a:srgbClr val="C5C7CA"/>
                </a:gs>
              </a:gsLst>
              <a:lin ang="5400000"/>
            </a:gradFill>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1</xdr:col>
      <xdr:colOff>45425</xdr:colOff>
      <xdr:row>45</xdr:row>
      <xdr:rowOff>125546</xdr:rowOff>
    </xdr:from>
    <xdr:to>
      <xdr:col>3</xdr:col>
      <xdr:colOff>233749</xdr:colOff>
      <xdr:row>50</xdr:row>
      <xdr:rowOff>56368</xdr:rowOff>
    </xdr:to>
    <xdr:sp macro="" textlink="">
      <xdr:nvSpPr>
        <xdr:cNvPr id="21" name="TextBox 20">
          <a:extLst>
            <a:ext uri="{FF2B5EF4-FFF2-40B4-BE49-F238E27FC236}">
              <a16:creationId xmlns:a16="http://schemas.microsoft.com/office/drawing/2014/main" id="{0561CE35-A87E-4835-BCA7-FF93DD985E9E}"/>
            </a:ext>
          </a:extLst>
        </xdr:cNvPr>
        <xdr:cNvSpPr txBox="1"/>
      </xdr:nvSpPr>
      <xdr:spPr>
        <a:xfrm>
          <a:off x="304129" y="8592213"/>
          <a:ext cx="1952213" cy="87156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rPr>
            <a:t>📅AVG. DAYS TO DELIVER</a:t>
          </a:r>
        </a:p>
        <a:p>
          <a:pPr marL="0" indent="0"/>
          <a:endPar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a:p>
          <a:pPr marL="0" indent="0"/>
          <a:endPar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1</xdr:col>
      <xdr:colOff>45425</xdr:colOff>
      <xdr:row>18</xdr:row>
      <xdr:rowOff>156584</xdr:rowOff>
    </xdr:from>
    <xdr:to>
      <xdr:col>3</xdr:col>
      <xdr:colOff>234235</xdr:colOff>
      <xdr:row>22</xdr:row>
      <xdr:rowOff>43900</xdr:rowOff>
    </xdr:to>
    <xdr:sp macro="" textlink="Sheet1!A4">
      <xdr:nvSpPr>
        <xdr:cNvPr id="22" name="TextBox 21">
          <a:extLst>
            <a:ext uri="{FF2B5EF4-FFF2-40B4-BE49-F238E27FC236}">
              <a16:creationId xmlns:a16="http://schemas.microsoft.com/office/drawing/2014/main" id="{32668653-78C6-41D9-B0E5-1B26319C0168}"/>
            </a:ext>
          </a:extLst>
        </xdr:cNvPr>
        <xdr:cNvSpPr txBox="1"/>
      </xdr:nvSpPr>
      <xdr:spPr>
        <a:xfrm>
          <a:off x="304129" y="3543251"/>
          <a:ext cx="1952699" cy="639908"/>
        </a:xfrm>
        <a:prstGeom prst="rect">
          <a:avLst/>
        </a:prstGeom>
        <a:noFill/>
        <a:ln w="9525" cmpd="sng">
          <a:gradFill flip="none" rotWithShape="1">
            <a:gsLst>
              <a:gs pos="0">
                <a:srgbClr val="EDC8F8"/>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effectLst>
          <a:outerShdw blurRad="50800" dist="38100" dir="2700000" algn="tl" rotWithShape="0">
            <a:prstClr val="black">
              <a:alpha val="5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fld id="{3997A764-0B66-448B-BFDD-480CEA799D4B}" type="TxLink">
            <a:rPr lang="en-US" sz="4000" b="0" i="0" u="none" strike="noStrike" cap="none" spc="0">
              <a:ln w="0">
                <a:solidFill>
                  <a:schemeClr val="accent5">
                    <a:lumMod val="20000"/>
                    <a:lumOff val="80000"/>
                  </a:schemeClr>
                </a:solidFill>
              </a:ln>
              <a:solidFill>
                <a:schemeClr val="accent5">
                  <a:lumMod val="60000"/>
                  <a:lumOff val="4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rPr>
            <a:pPr/>
            <a:t>2400</a:t>
          </a:fld>
          <a:endParaRPr lang="en-US" sz="4400" b="1" i="0" u="none" strike="noStrike" cap="none" spc="0">
            <a:ln w="0">
              <a:solidFill>
                <a:schemeClr val="accent5">
                  <a:lumMod val="20000"/>
                  <a:lumOff val="80000"/>
                </a:schemeClr>
              </a:solidFill>
            </a:ln>
            <a:solidFill>
              <a:schemeClr val="accent5">
                <a:lumMod val="60000"/>
                <a:lumOff val="4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1</xdr:col>
      <xdr:colOff>45425</xdr:colOff>
      <xdr:row>36</xdr:row>
      <xdr:rowOff>145386</xdr:rowOff>
    </xdr:from>
    <xdr:to>
      <xdr:col>3</xdr:col>
      <xdr:colOff>415524</xdr:colOff>
      <xdr:row>41</xdr:row>
      <xdr:rowOff>24005</xdr:rowOff>
    </xdr:to>
    <xdr:sp macro="" textlink="">
      <xdr:nvSpPr>
        <xdr:cNvPr id="23" name="TextBox 22">
          <a:extLst>
            <a:ext uri="{FF2B5EF4-FFF2-40B4-BE49-F238E27FC236}">
              <a16:creationId xmlns:a16="http://schemas.microsoft.com/office/drawing/2014/main" id="{8820C25E-3ADB-436D-85C8-3752386D354D}"/>
            </a:ext>
          </a:extLst>
        </xdr:cNvPr>
        <xdr:cNvSpPr txBox="1"/>
      </xdr:nvSpPr>
      <xdr:spPr>
        <a:xfrm>
          <a:off x="304129" y="6918719"/>
          <a:ext cx="2133988" cy="81936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rPr>
            <a:t>⭐AVG. RATING</a:t>
          </a:r>
        </a:p>
        <a:p>
          <a:pPr marL="0" indent="0"/>
          <a:endParaRPr lang="en-US" sz="2000" b="1" i="0" u="none" strike="noStrike" cap="none" spc="0">
            <a:ln w="0">
              <a:solidFill>
                <a:schemeClr val="accent5">
                  <a:lumMod val="60000"/>
                  <a:lumOff val="40000"/>
                </a:schemeClr>
              </a:solidFill>
            </a:ln>
            <a:solidFill>
              <a:schemeClr val="accent5">
                <a:lumMod val="40000"/>
                <a:lumOff val="6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1</xdr:col>
      <xdr:colOff>45425</xdr:colOff>
      <xdr:row>41</xdr:row>
      <xdr:rowOff>108670</xdr:rowOff>
    </xdr:from>
    <xdr:to>
      <xdr:col>3</xdr:col>
      <xdr:colOff>190960</xdr:colOff>
      <xdr:row>45</xdr:row>
      <xdr:rowOff>26926</xdr:rowOff>
    </xdr:to>
    <xdr:sp macro="" textlink="Sheet1!D4">
      <xdr:nvSpPr>
        <xdr:cNvPr id="25" name="TextBox 24">
          <a:extLst>
            <a:ext uri="{FF2B5EF4-FFF2-40B4-BE49-F238E27FC236}">
              <a16:creationId xmlns:a16="http://schemas.microsoft.com/office/drawing/2014/main" id="{4B21D723-CA95-477E-88FC-7394936C50A2}"/>
            </a:ext>
          </a:extLst>
        </xdr:cNvPr>
        <xdr:cNvSpPr txBox="1"/>
      </xdr:nvSpPr>
      <xdr:spPr>
        <a:xfrm>
          <a:off x="304129" y="7822744"/>
          <a:ext cx="1909424" cy="670849"/>
        </a:xfrm>
        <a:prstGeom prst="rect">
          <a:avLst/>
        </a:prstGeom>
        <a:noFill/>
        <a:ln w="9525" cmpd="sng">
          <a:gradFill flip="none" rotWithShape="1">
            <a:gsLst>
              <a:gs pos="0">
                <a:srgbClr val="EDC8F8"/>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effectLst>
          <a:outerShdw blurRad="50800" dist="38100" dir="2700000" algn="tl" rotWithShape="0">
            <a:prstClr val="black">
              <a:alpha val="5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indent="0"/>
          <a:fld id="{6EC895BD-1B17-42F1-A705-0F2F293D7BAF}" type="TxLink">
            <a:rPr lang="en-US" sz="4000" b="0" i="0" u="none" strike="noStrike" cap="none" spc="0">
              <a:ln w="0">
                <a:solidFill>
                  <a:schemeClr val="accent5">
                    <a:lumMod val="20000"/>
                    <a:lumOff val="80000"/>
                  </a:schemeClr>
                </a:solidFill>
              </a:ln>
              <a:solidFill>
                <a:schemeClr val="accent5">
                  <a:lumMod val="60000"/>
                  <a:lumOff val="4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rPr>
            <a:pPr marL="0" indent="0"/>
            <a:t>3.96</a:t>
          </a:fld>
          <a:endParaRPr lang="en-US" sz="4000" b="0" i="0" u="none" strike="noStrike" cap="none" spc="0">
            <a:ln w="0">
              <a:solidFill>
                <a:schemeClr val="accent5">
                  <a:lumMod val="20000"/>
                  <a:lumOff val="80000"/>
                </a:schemeClr>
              </a:solidFill>
            </a:ln>
            <a:solidFill>
              <a:schemeClr val="accent5">
                <a:lumMod val="60000"/>
                <a:lumOff val="4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1</xdr:col>
      <xdr:colOff>45425</xdr:colOff>
      <xdr:row>50</xdr:row>
      <xdr:rowOff>154992</xdr:rowOff>
    </xdr:from>
    <xdr:to>
      <xdr:col>3</xdr:col>
      <xdr:colOff>213056</xdr:colOff>
      <xdr:row>54</xdr:row>
      <xdr:rowOff>83773</xdr:rowOff>
    </xdr:to>
    <xdr:sp macro="" textlink="Sheet1!E4">
      <xdr:nvSpPr>
        <xdr:cNvPr id="26" name="TextBox 25">
          <a:extLst>
            <a:ext uri="{FF2B5EF4-FFF2-40B4-BE49-F238E27FC236}">
              <a16:creationId xmlns:a16="http://schemas.microsoft.com/office/drawing/2014/main" id="{7DC13484-B0B6-434B-BEA4-63B0EC73DE5C}"/>
            </a:ext>
          </a:extLst>
        </xdr:cNvPr>
        <xdr:cNvSpPr txBox="1"/>
      </xdr:nvSpPr>
      <xdr:spPr>
        <a:xfrm>
          <a:off x="304129" y="9562399"/>
          <a:ext cx="1931520" cy="681374"/>
        </a:xfrm>
        <a:prstGeom prst="rect">
          <a:avLst/>
        </a:prstGeom>
        <a:noFill/>
        <a:ln w="9525" cmpd="sng">
          <a:gradFill flip="none" rotWithShape="1">
            <a:gsLst>
              <a:gs pos="0">
                <a:srgbClr val="EDC8F8"/>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effectLst>
          <a:outerShdw blurRad="50800" dist="38100" dir="2700000" algn="tl" rotWithShape="0">
            <a:prstClr val="black">
              <a:alpha val="5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indent="0"/>
          <a:fld id="{97A817A6-FA36-42FD-9745-F9D65D544F89}" type="TxLink">
            <a:rPr lang="en-US" sz="4000" b="0" i="0" u="none" strike="noStrike" cap="none" spc="0">
              <a:ln w="0">
                <a:solidFill>
                  <a:schemeClr val="accent5">
                    <a:lumMod val="20000"/>
                    <a:lumOff val="80000"/>
                  </a:schemeClr>
                </a:solidFill>
              </a:ln>
              <a:solidFill>
                <a:schemeClr val="accent5">
                  <a:lumMod val="60000"/>
                  <a:lumOff val="4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rPr>
            <a:pPr marL="0" indent="0"/>
            <a:t>2.34</a:t>
          </a:fld>
          <a:endParaRPr lang="en-US" sz="4000" b="0" i="0" u="none" strike="noStrike" cap="none" spc="0">
            <a:ln w="0">
              <a:solidFill>
                <a:schemeClr val="accent5">
                  <a:lumMod val="20000"/>
                  <a:lumOff val="80000"/>
                </a:schemeClr>
              </a:solidFill>
            </a:ln>
            <a:solidFill>
              <a:schemeClr val="accent5">
                <a:lumMod val="60000"/>
                <a:lumOff val="40000"/>
              </a:schemeClr>
            </a:solidFill>
            <a:effectLst>
              <a:outerShdw blurRad="38100" dist="25400" dir="5400000" algn="ctr" rotWithShape="0">
                <a:srgbClr val="6E747A">
                  <a:alpha val="43000"/>
                </a:srgb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twoCellAnchor>
  <xdr:twoCellAnchor>
    <xdr:from>
      <xdr:col>5</xdr:col>
      <xdr:colOff>73679</xdr:colOff>
      <xdr:row>3</xdr:row>
      <xdr:rowOff>162550</xdr:rowOff>
    </xdr:from>
    <xdr:to>
      <xdr:col>22</xdr:col>
      <xdr:colOff>151189</xdr:colOff>
      <xdr:row>44</xdr:row>
      <xdr:rowOff>151191</xdr:rowOff>
    </xdr:to>
    <xdr:graphicFrame macro="">
      <xdr:nvGraphicFramePr>
        <xdr:cNvPr id="3" name="Chart 2">
          <a:extLst>
            <a:ext uri="{FF2B5EF4-FFF2-40B4-BE49-F238E27FC236}">
              <a16:creationId xmlns:a16="http://schemas.microsoft.com/office/drawing/2014/main" id="{D6A3EAE6-3712-41C5-87B3-E7F6F0E93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523151</xdr:colOff>
      <xdr:row>5</xdr:row>
      <xdr:rowOff>7215</xdr:rowOff>
    </xdr:from>
    <xdr:to>
      <xdr:col>55</xdr:col>
      <xdr:colOff>577272</xdr:colOff>
      <xdr:row>42</xdr:row>
      <xdr:rowOff>100263</xdr:rowOff>
    </xdr:to>
    <xdr:sp macro="" textlink="">
      <xdr:nvSpPr>
        <xdr:cNvPr id="12" name="TextBox 11">
          <a:extLst>
            <a:ext uri="{FF2B5EF4-FFF2-40B4-BE49-F238E27FC236}">
              <a16:creationId xmlns:a16="http://schemas.microsoft.com/office/drawing/2014/main" id="{B30958BF-6731-EC2E-6D34-C47A9129C136}"/>
            </a:ext>
          </a:extLst>
        </xdr:cNvPr>
        <xdr:cNvSpPr txBox="1"/>
      </xdr:nvSpPr>
      <xdr:spPr>
        <a:xfrm>
          <a:off x="23617098" y="926294"/>
          <a:ext cx="10280963" cy="68942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0">
            <a:defRPr sz="18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sz="1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endParaRPr>
        </a:p>
        <a:p>
          <a:pPr algn="ctr" rtl="0">
            <a:defRPr sz="18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2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rPr>
            <a:t>How our customers like to buy? </a:t>
          </a:r>
        </a:p>
        <a:p>
          <a:pPr algn="ctr" rtl="0">
            <a:defRPr sz="18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sz="2800" b="1" i="0" u="none" strike="noStrike" kern="1200" spc="0" baseline="0">
            <a:solidFill>
              <a:schemeClr val="tx1"/>
            </a:solidFill>
            <a:effectLst/>
            <a:latin typeface="Times New Roman" panose="02020603050405020304" pitchFamily="18" charset="0"/>
            <a:ea typeface="+mn-ea"/>
            <a:cs typeface="Times New Roman" panose="02020603050405020304"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39</xdr:col>
          <xdr:colOff>408688</xdr:colOff>
          <xdr:row>12</xdr:row>
          <xdr:rowOff>31750</xdr:rowOff>
        </xdr:from>
        <xdr:to>
          <xdr:col>55</xdr:col>
          <xdr:colOff>190500</xdr:colOff>
          <xdr:row>34</xdr:row>
          <xdr:rowOff>154215</xdr:rowOff>
        </xdr:to>
        <xdr:pic>
          <xdr:nvPicPr>
            <xdr:cNvPr id="10" name="Picture 9">
              <a:extLst>
                <a:ext uri="{FF2B5EF4-FFF2-40B4-BE49-F238E27FC236}">
                  <a16:creationId xmlns:a16="http://schemas.microsoft.com/office/drawing/2014/main" id="{3A1221D2-BC66-F58A-0CF5-0AA6A190F14C}"/>
                </a:ext>
              </a:extLst>
            </xdr:cNvPr>
            <xdr:cNvPicPr>
              <a:picLocks noChangeAspect="1" noChangeArrowheads="1"/>
              <a:extLst>
                <a:ext uri="{84589F7E-364E-4C9E-8A38-B11213B215E9}">
                  <a14:cameraTool cellRange="Sheet2!$I$5:$M$10" spid="_x0000_s1188"/>
                </a:ext>
              </a:extLst>
            </xdr:cNvPicPr>
          </xdr:nvPicPr>
          <xdr:blipFill>
            <a:blip xmlns:r="http://schemas.openxmlformats.org/officeDocument/2006/relationships" r:embed="rId2"/>
            <a:srcRect/>
            <a:stretch>
              <a:fillRect/>
            </a:stretch>
          </xdr:blipFill>
          <xdr:spPr bwMode="auto">
            <a:xfrm>
              <a:off x="24157688" y="2317750"/>
              <a:ext cx="9433812" cy="49847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563183</xdr:colOff>
      <xdr:row>4</xdr:row>
      <xdr:rowOff>100166</xdr:rowOff>
    </xdr:from>
    <xdr:to>
      <xdr:col>38</xdr:col>
      <xdr:colOff>230908</xdr:colOff>
      <xdr:row>45</xdr:row>
      <xdr:rowOff>28863</xdr:rowOff>
    </xdr:to>
    <xdr:graphicFrame macro="">
      <xdr:nvGraphicFramePr>
        <xdr:cNvPr id="14" name="Chart 13">
          <a:extLst>
            <a:ext uri="{FF2B5EF4-FFF2-40B4-BE49-F238E27FC236}">
              <a16:creationId xmlns:a16="http://schemas.microsoft.com/office/drawing/2014/main" id="{58B7D2C9-1440-4DBD-8579-85FC8FBFB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186764</xdr:colOff>
      <xdr:row>53</xdr:row>
      <xdr:rowOff>37353</xdr:rowOff>
    </xdr:from>
    <xdr:to>
      <xdr:col>76</xdr:col>
      <xdr:colOff>224118</xdr:colOff>
      <xdr:row>99</xdr:row>
      <xdr:rowOff>-1</xdr:rowOff>
    </xdr:to>
    <xdr:graphicFrame macro="">
      <xdr:nvGraphicFramePr>
        <xdr:cNvPr id="24" name="Chart 23">
          <a:extLst>
            <a:ext uri="{FF2B5EF4-FFF2-40B4-BE49-F238E27FC236}">
              <a16:creationId xmlns:a16="http://schemas.microsoft.com/office/drawing/2014/main" id="{2B1688C9-73E6-44B5-A174-F6BF80D44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56</xdr:col>
      <xdr:colOff>224118</xdr:colOff>
      <xdr:row>3</xdr:row>
      <xdr:rowOff>158748</xdr:rowOff>
    </xdr:from>
    <xdr:to>
      <xdr:col>76</xdr:col>
      <xdr:colOff>332120</xdr:colOff>
      <xdr:row>48</xdr:row>
      <xdr:rowOff>158751</xdr:rowOff>
    </xdr:to>
    <xdr:graphicFrame macro="">
      <xdr:nvGraphicFramePr>
        <xdr:cNvPr id="27" name="Chart 26">
          <a:extLst>
            <a:ext uri="{FF2B5EF4-FFF2-40B4-BE49-F238E27FC236}">
              <a16:creationId xmlns:a16="http://schemas.microsoft.com/office/drawing/2014/main" id="{F463FCBC-D578-4E9A-933F-E0AB236DD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33421</xdr:colOff>
      <xdr:row>48</xdr:row>
      <xdr:rowOff>74706</xdr:rowOff>
    </xdr:from>
    <xdr:to>
      <xdr:col>25</xdr:col>
      <xdr:colOff>410881</xdr:colOff>
      <xdr:row>99</xdr:row>
      <xdr:rowOff>101934</xdr:rowOff>
    </xdr:to>
    <xdr:graphicFrame macro="">
      <xdr:nvGraphicFramePr>
        <xdr:cNvPr id="28" name="Chart 27">
          <a:extLst>
            <a:ext uri="{FF2B5EF4-FFF2-40B4-BE49-F238E27FC236}">
              <a16:creationId xmlns:a16="http://schemas.microsoft.com/office/drawing/2014/main" id="{953CBDB5-4B5A-43DB-AA2A-BB7F598E5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222058</xdr:colOff>
      <xdr:row>74</xdr:row>
      <xdr:rowOff>75307</xdr:rowOff>
    </xdr:from>
    <xdr:to>
      <xdr:col>24</xdr:col>
      <xdr:colOff>91437</xdr:colOff>
      <xdr:row>95</xdr:row>
      <xdr:rowOff>16979</xdr:rowOff>
    </xdr:to>
    <xdr:graphicFrame macro="">
      <xdr:nvGraphicFramePr>
        <xdr:cNvPr id="29" name="Chart 28">
          <a:extLst>
            <a:ext uri="{FF2B5EF4-FFF2-40B4-BE49-F238E27FC236}">
              <a16:creationId xmlns:a16="http://schemas.microsoft.com/office/drawing/2014/main" id="{76FC5A73-86A3-4AF0-85EF-960AEB09B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207595</xdr:colOff>
      <xdr:row>58</xdr:row>
      <xdr:rowOff>97692</xdr:rowOff>
    </xdr:from>
    <xdr:to>
      <xdr:col>4</xdr:col>
      <xdr:colOff>226428</xdr:colOff>
      <xdr:row>77</xdr:row>
      <xdr:rowOff>41192</xdr:rowOff>
    </xdr:to>
    <mc:AlternateContent xmlns:mc="http://schemas.openxmlformats.org/markup-compatibility/2006" xmlns:a14="http://schemas.microsoft.com/office/drawing/2010/main">
      <mc:Choice Requires="a14">
        <xdr:graphicFrame macro="">
          <xdr:nvGraphicFramePr>
            <xdr:cNvPr id="30" name="Order Mode">
              <a:extLst>
                <a:ext uri="{FF2B5EF4-FFF2-40B4-BE49-F238E27FC236}">
                  <a16:creationId xmlns:a16="http://schemas.microsoft.com/office/drawing/2014/main" id="{0B9B9947-0BD5-4B31-AEEA-BF86082F20C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207595" y="10930045"/>
              <a:ext cx="2633539" cy="3492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211666</xdr:colOff>
      <xdr:row>78</xdr:row>
      <xdr:rowOff>35277</xdr:rowOff>
    </xdr:from>
    <xdr:to>
      <xdr:col>4</xdr:col>
      <xdr:colOff>219069</xdr:colOff>
      <xdr:row>98</xdr:row>
      <xdr:rowOff>146537</xdr:rowOff>
    </xdr:to>
    <mc:AlternateContent xmlns:mc="http://schemas.openxmlformats.org/markup-compatibility/2006" xmlns:a14="http://schemas.microsoft.com/office/drawing/2010/main">
      <mc:Choice Requires="a14">
        <xdr:graphicFrame macro="">
          <xdr:nvGraphicFramePr>
            <xdr:cNvPr id="31" name="Gender Value">
              <a:extLst>
                <a:ext uri="{FF2B5EF4-FFF2-40B4-BE49-F238E27FC236}">
                  <a16:creationId xmlns:a16="http://schemas.microsoft.com/office/drawing/2014/main" id="{3C17C50E-7AA6-4AE4-952E-DBB5F24A56D3}"/>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211666" y="14602924"/>
              <a:ext cx="2622109" cy="3846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138906</xdr:colOff>
      <xdr:row>1</xdr:row>
      <xdr:rowOff>39687</xdr:rowOff>
    </xdr:from>
    <xdr:ext cx="2678906" cy="2262187"/>
    <xdr:sp macro="" textlink="">
      <xdr:nvSpPr>
        <xdr:cNvPr id="32" name="TextBox 31">
          <a:extLst>
            <a:ext uri="{FF2B5EF4-FFF2-40B4-BE49-F238E27FC236}">
              <a16:creationId xmlns:a16="http://schemas.microsoft.com/office/drawing/2014/main" id="{9D3C903A-BAB7-7919-E629-4A5F57844A2C}"/>
            </a:ext>
          </a:extLst>
        </xdr:cNvPr>
        <xdr:cNvSpPr txBox="1"/>
      </xdr:nvSpPr>
      <xdr:spPr>
        <a:xfrm flipH="1">
          <a:off x="138906" y="218281"/>
          <a:ext cx="2678906" cy="2262187"/>
        </a:xfrm>
        <a:prstGeom prst="rect">
          <a:avLst/>
        </a:prstGeom>
        <a:solidFill>
          <a:schemeClr val="tx2">
            <a:lumMod val="75000"/>
            <a:lumOff val="25000"/>
          </a:schemeClr>
        </a:solidFill>
        <a:ln w="38100" cmpd="sng">
          <a:solidFill>
            <a:schemeClr val="accent5">
              <a:lumMod val="20000"/>
              <a:lumOff val="8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indent="0"/>
          <a:r>
            <a:rPr lang="en-US" sz="5400" b="1" i="0" u="none" strike="noStrike" cap="none" spc="0">
              <a:ln w="0">
                <a:solidFill>
                  <a:schemeClr val="tx2">
                    <a:lumMod val="10000"/>
                    <a:lumOff val="90000"/>
                  </a:schemeClr>
                </a:solidFill>
              </a:ln>
              <a:solidFill>
                <a:schemeClr val="accent5">
                  <a:lumMod val="20000"/>
                  <a:lumOff val="80000"/>
                </a:schemeClr>
              </a:solidFill>
              <a:effectLst>
                <a:reflection blurRad="6350" stA="53000" endA="300" endPos="35500" dir="5400000" sy="-90000" algn="bl" rotWithShape="0"/>
              </a:effectLst>
              <a:latin typeface="Freestyle Script" panose="030804020302050B0404" pitchFamily="66" charset="0"/>
              <a:ea typeface="Calibri" panose="020F0502020204030204" pitchFamily="34" charset="0"/>
              <a:cs typeface="Times New Roman" panose="02020603050405020304" pitchFamily="18" charset="0"/>
            </a:rPr>
            <a:t>Happy Clothing.Co</a:t>
          </a:r>
        </a:p>
      </xdr:txBody>
    </xdr:sp>
    <xdr:clientData/>
  </xdr:oneCellAnchor>
  <xdr:twoCellAnchor>
    <xdr:from>
      <xdr:col>26</xdr:col>
      <xdr:colOff>158751</xdr:colOff>
      <xdr:row>48</xdr:row>
      <xdr:rowOff>39687</xdr:rowOff>
    </xdr:from>
    <xdr:to>
      <xdr:col>48</xdr:col>
      <xdr:colOff>439615</xdr:colOff>
      <xdr:row>101</xdr:row>
      <xdr:rowOff>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666B3C8-8DD3-4C43-B610-BE6B90F8A1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6229136" y="10736995"/>
              <a:ext cx="13713556" cy="1031569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41</xdr:col>
      <xdr:colOff>0</xdr:colOff>
      <xdr:row>49</xdr:row>
      <xdr:rowOff>48847</xdr:rowOff>
    </xdr:from>
    <xdr:to>
      <xdr:col>48</xdr:col>
      <xdr:colOff>206016</xdr:colOff>
      <xdr:row>74</xdr:row>
      <xdr:rowOff>119063</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614A09D7-34E3-4E27-8530-088D8B1CE7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4685625" y="10962910"/>
              <a:ext cx="4373204" cy="50311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2</xdr:row>
      <xdr:rowOff>0</xdr:rowOff>
    </xdr:from>
    <xdr:to>
      <xdr:col>10</xdr:col>
      <xdr:colOff>386457</xdr:colOff>
      <xdr:row>16</xdr:row>
      <xdr:rowOff>148001</xdr:rowOff>
    </xdr:to>
    <xdr:graphicFrame macro="">
      <xdr:nvGraphicFramePr>
        <xdr:cNvPr id="2" name="Chart 1">
          <a:extLst>
            <a:ext uri="{FF2B5EF4-FFF2-40B4-BE49-F238E27FC236}">
              <a16:creationId xmlns:a16="http://schemas.microsoft.com/office/drawing/2014/main" id="{41547E52-AB07-498E-8BC4-DF7C8F6BD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xdr:row>
      <xdr:rowOff>116418</xdr:rowOff>
    </xdr:from>
    <xdr:to>
      <xdr:col>14</xdr:col>
      <xdr:colOff>254000</xdr:colOff>
      <xdr:row>16</xdr:row>
      <xdr:rowOff>9678</xdr:rowOff>
    </xdr:to>
    <xdr:graphicFrame macro="">
      <xdr:nvGraphicFramePr>
        <xdr:cNvPr id="3" name="Chart 2">
          <a:extLst>
            <a:ext uri="{FF2B5EF4-FFF2-40B4-BE49-F238E27FC236}">
              <a16:creationId xmlns:a16="http://schemas.microsoft.com/office/drawing/2014/main" id="{1E40A533-FDF9-499A-8557-1E37BCF55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chi Singh" refreshedDate="46257.990055671296" createdVersion="8" refreshedVersion="8" minRefreshableVersion="3" recordCount="2400" xr:uid="{69B9A9E4-7E87-42E2-AC47-754117AACF02}">
  <cacheSource type="worksheet">
    <worksheetSource name="orders"/>
  </cacheSource>
  <cacheFields count="20">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9"/>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7"/>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Ship Date)" numFmtId="0" databaseField="0">
      <fieldGroup base="6">
        <rangePr groupBy="days" startDate="2025-01-02T00:00:00" endDate="2025-04-11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11/2025"/>
        </groupItems>
      </fieldGroup>
    </cacheField>
    <cacheField name="Months (Ship Date)" numFmtId="0" databaseField="0">
      <fieldGroup base="6">
        <rangePr groupBy="months" startDate="2025-01-02T00:00:00" endDate="2025-04-11T00:00:00"/>
        <groupItems count="14">
          <s v="&lt;1/2/2025"/>
          <s v="Jan"/>
          <s v="Feb"/>
          <s v="Mar"/>
          <s v="Apr"/>
          <s v="May"/>
          <s v="Jun"/>
          <s v="Jul"/>
          <s v="Aug"/>
          <s v="Sep"/>
          <s v="Oct"/>
          <s v="Nov"/>
          <s v="Dec"/>
          <s v="&gt;4/11/2025"/>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308761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x v="0"/>
    <x v="0"/>
    <x v="0"/>
    <x v="0"/>
    <x v="0"/>
    <x v="0"/>
    <x v="0"/>
    <x v="0"/>
    <x v="0"/>
  </r>
  <r>
    <s v="TX500002"/>
    <x v="1"/>
    <x v="1"/>
    <n v="30.6"/>
    <n v="61.2"/>
    <x v="0"/>
    <x v="1"/>
    <x v="1"/>
    <x v="0"/>
    <x v="0"/>
    <x v="0"/>
    <x v="1"/>
    <x v="1"/>
    <x v="0"/>
    <x v="1"/>
  </r>
  <r>
    <s v="TX500003"/>
    <x v="2"/>
    <x v="2"/>
    <n v="109.4"/>
    <n v="328.20000000000005"/>
    <x v="0"/>
    <x v="2"/>
    <x v="2"/>
    <x v="0"/>
    <x v="1"/>
    <x v="0"/>
    <x v="2"/>
    <x v="2"/>
    <x v="0"/>
    <x v="2"/>
  </r>
  <r>
    <s v="TX500004"/>
    <x v="3"/>
    <x v="3"/>
    <n v="37.700000000000003"/>
    <n v="263.90000000000003"/>
    <x v="0"/>
    <x v="3"/>
    <x v="2"/>
    <x v="0"/>
    <x v="0"/>
    <x v="0"/>
    <x v="2"/>
    <x v="3"/>
    <x v="0"/>
    <x v="2"/>
  </r>
  <r>
    <s v="TX500005"/>
    <x v="4"/>
    <x v="2"/>
    <n v="56.7"/>
    <n v="170.10000000000002"/>
    <x v="0"/>
    <x v="2"/>
    <x v="2"/>
    <x v="0"/>
    <x v="2"/>
    <x v="0"/>
    <x v="3"/>
    <x v="2"/>
    <x v="0"/>
    <x v="2"/>
  </r>
  <r>
    <s v="TX500006"/>
    <x v="1"/>
    <x v="4"/>
    <n v="83.5"/>
    <n v="1002"/>
    <x v="0"/>
    <x v="2"/>
    <x v="1"/>
    <x v="1"/>
    <x v="0"/>
    <x v="0"/>
    <x v="3"/>
    <x v="2"/>
    <x v="0"/>
    <x v="1"/>
  </r>
  <r>
    <s v="TX500007"/>
    <x v="5"/>
    <x v="0"/>
    <n v="55.3"/>
    <n v="55.3"/>
    <x v="0"/>
    <x v="3"/>
    <x v="2"/>
    <x v="0"/>
    <x v="0"/>
    <x v="0"/>
    <x v="3"/>
    <x v="3"/>
    <x v="0"/>
    <x v="2"/>
  </r>
  <r>
    <s v="TX500008"/>
    <x v="6"/>
    <x v="1"/>
    <n v="40.299999999999997"/>
    <n v="80.599999999999994"/>
    <x v="0"/>
    <x v="3"/>
    <x v="1"/>
    <x v="2"/>
    <x v="2"/>
    <x v="0"/>
    <x v="3"/>
    <x v="3"/>
    <x v="0"/>
    <x v="1"/>
  </r>
  <r>
    <s v="TX500009"/>
    <x v="7"/>
    <x v="5"/>
    <n v="35.700000000000003"/>
    <n v="392.70000000000005"/>
    <x v="0"/>
    <x v="3"/>
    <x v="2"/>
    <x v="0"/>
    <x v="0"/>
    <x v="0"/>
    <x v="3"/>
    <x v="3"/>
    <x v="0"/>
    <x v="2"/>
  </r>
  <r>
    <s v="TX500010"/>
    <x v="8"/>
    <x v="3"/>
    <n v="22.4"/>
    <n v="156.79999999999998"/>
    <x v="0"/>
    <x v="2"/>
    <x v="1"/>
    <x v="0"/>
    <x v="1"/>
    <x v="0"/>
    <x v="3"/>
    <x v="2"/>
    <x v="0"/>
    <x v="1"/>
  </r>
  <r>
    <s v="TX500011"/>
    <x v="9"/>
    <x v="1"/>
    <n v="54.4"/>
    <n v="108.8"/>
    <x v="0"/>
    <x v="4"/>
    <x v="2"/>
    <x v="0"/>
    <x v="0"/>
    <x v="0"/>
    <x v="3"/>
    <x v="4"/>
    <x v="0"/>
    <x v="2"/>
  </r>
  <r>
    <s v="TX500012"/>
    <x v="9"/>
    <x v="1"/>
    <n v="49"/>
    <n v="98"/>
    <x v="0"/>
    <x v="1"/>
    <x v="2"/>
    <x v="2"/>
    <x v="1"/>
    <x v="0"/>
    <x v="3"/>
    <x v="1"/>
    <x v="0"/>
    <x v="2"/>
  </r>
  <r>
    <s v="TX500013"/>
    <x v="5"/>
    <x v="3"/>
    <n v="118.6"/>
    <n v="830.19999999999993"/>
    <x v="0"/>
    <x v="5"/>
    <x v="2"/>
    <x v="1"/>
    <x v="0"/>
    <x v="0"/>
    <x v="4"/>
    <x v="5"/>
    <x v="0"/>
    <x v="2"/>
  </r>
  <r>
    <s v="TX500014"/>
    <x v="6"/>
    <x v="6"/>
    <n v="88.4"/>
    <n v="2386.8000000000002"/>
    <x v="0"/>
    <x v="6"/>
    <x v="1"/>
    <x v="3"/>
    <x v="0"/>
    <x v="0"/>
    <x v="5"/>
    <x v="6"/>
    <x v="0"/>
    <x v="1"/>
  </r>
  <r>
    <s v="TX500015"/>
    <x v="10"/>
    <x v="0"/>
    <n v="66.7"/>
    <n v="66.7"/>
    <x v="0"/>
    <x v="2"/>
    <x v="1"/>
    <x v="0"/>
    <x v="0"/>
    <x v="0"/>
    <x v="6"/>
    <x v="2"/>
    <x v="0"/>
    <x v="1"/>
  </r>
  <r>
    <s v="TX500016"/>
    <x v="9"/>
    <x v="7"/>
    <n v="30.9"/>
    <n v="309"/>
    <x v="0"/>
    <x v="3"/>
    <x v="1"/>
    <x v="1"/>
    <x v="2"/>
    <x v="0"/>
    <x v="6"/>
    <x v="3"/>
    <x v="0"/>
    <x v="1"/>
  </r>
  <r>
    <s v="TX500017"/>
    <x v="4"/>
    <x v="2"/>
    <n v="31.1"/>
    <n v="93.300000000000011"/>
    <x v="0"/>
    <x v="3"/>
    <x v="2"/>
    <x v="0"/>
    <x v="1"/>
    <x v="0"/>
    <x v="6"/>
    <x v="3"/>
    <x v="0"/>
    <x v="2"/>
  </r>
  <r>
    <s v="TX500018"/>
    <x v="7"/>
    <x v="2"/>
    <n v="36.6"/>
    <n v="109.80000000000001"/>
    <x v="0"/>
    <x v="2"/>
    <x v="2"/>
    <x v="0"/>
    <x v="0"/>
    <x v="0"/>
    <x v="7"/>
    <x v="2"/>
    <x v="0"/>
    <x v="2"/>
  </r>
  <r>
    <s v="TX500019"/>
    <x v="6"/>
    <x v="8"/>
    <n v="51.1"/>
    <n v="408.8"/>
    <x v="0"/>
    <x v="2"/>
    <x v="2"/>
    <x v="2"/>
    <x v="3"/>
    <x v="0"/>
    <x v="7"/>
    <x v="2"/>
    <x v="0"/>
    <x v="2"/>
  </r>
  <r>
    <s v="TX500020"/>
    <x v="9"/>
    <x v="0"/>
    <n v="25.2"/>
    <n v="25.2"/>
    <x v="0"/>
    <x v="3"/>
    <x v="2"/>
    <x v="1"/>
    <x v="2"/>
    <x v="0"/>
    <x v="8"/>
    <x v="3"/>
    <x v="0"/>
    <x v="2"/>
  </r>
  <r>
    <s v="TX500021"/>
    <x v="9"/>
    <x v="9"/>
    <n v="43.8"/>
    <n v="219"/>
    <x v="0"/>
    <x v="2"/>
    <x v="2"/>
    <x v="2"/>
    <x v="0"/>
    <x v="0"/>
    <x v="8"/>
    <x v="2"/>
    <x v="0"/>
    <x v="2"/>
  </r>
  <r>
    <s v="TX500022"/>
    <x v="8"/>
    <x v="4"/>
    <n v="46.7"/>
    <n v="560.40000000000009"/>
    <x v="0"/>
    <x v="3"/>
    <x v="2"/>
    <x v="1"/>
    <x v="1"/>
    <x v="0"/>
    <x v="8"/>
    <x v="3"/>
    <x v="0"/>
    <x v="2"/>
  </r>
  <r>
    <s v="TX500023"/>
    <x v="3"/>
    <x v="10"/>
    <n v="79.900000000000006"/>
    <n v="1518.1000000000001"/>
    <x v="0"/>
    <x v="3"/>
    <x v="1"/>
    <x v="0"/>
    <x v="2"/>
    <x v="0"/>
    <x v="8"/>
    <x v="3"/>
    <x v="0"/>
    <x v="1"/>
  </r>
  <r>
    <s v="TX500024"/>
    <x v="11"/>
    <x v="8"/>
    <n v="26.4"/>
    <n v="211.2"/>
    <x v="0"/>
    <x v="3"/>
    <x v="2"/>
    <x v="3"/>
    <x v="0"/>
    <x v="0"/>
    <x v="8"/>
    <x v="3"/>
    <x v="0"/>
    <x v="2"/>
  </r>
  <r>
    <s v="TX500025"/>
    <x v="12"/>
    <x v="8"/>
    <n v="88.8"/>
    <n v="710.4"/>
    <x v="0"/>
    <x v="3"/>
    <x v="2"/>
    <x v="4"/>
    <x v="0"/>
    <x v="0"/>
    <x v="8"/>
    <x v="3"/>
    <x v="0"/>
    <x v="2"/>
  </r>
  <r>
    <s v="TX500026"/>
    <x v="0"/>
    <x v="7"/>
    <n v="17.5"/>
    <n v="175"/>
    <x v="0"/>
    <x v="3"/>
    <x v="2"/>
    <x v="2"/>
    <x v="0"/>
    <x v="0"/>
    <x v="9"/>
    <x v="3"/>
    <x v="0"/>
    <x v="2"/>
  </r>
  <r>
    <s v="TX500027"/>
    <x v="1"/>
    <x v="11"/>
    <n v="38.700000000000003"/>
    <n v="348.3"/>
    <x v="0"/>
    <x v="2"/>
    <x v="1"/>
    <x v="1"/>
    <x v="0"/>
    <x v="0"/>
    <x v="10"/>
    <x v="2"/>
    <x v="0"/>
    <x v="1"/>
  </r>
  <r>
    <s v="TX500028"/>
    <x v="13"/>
    <x v="12"/>
    <n v="57.2"/>
    <n v="228.8"/>
    <x v="0"/>
    <x v="1"/>
    <x v="0"/>
    <x v="1"/>
    <x v="2"/>
    <x v="0"/>
    <x v="11"/>
    <x v="1"/>
    <x v="0"/>
    <x v="0"/>
  </r>
  <r>
    <s v="TX500029"/>
    <x v="6"/>
    <x v="9"/>
    <n v="50.9"/>
    <n v="254.5"/>
    <x v="0"/>
    <x v="4"/>
    <x v="0"/>
    <x v="1"/>
    <x v="2"/>
    <x v="0"/>
    <x v="12"/>
    <x v="4"/>
    <x v="0"/>
    <x v="0"/>
  </r>
  <r>
    <s v="TX500030"/>
    <x v="14"/>
    <x v="3"/>
    <n v="41"/>
    <n v="287"/>
    <x v="0"/>
    <x v="5"/>
    <x v="2"/>
    <x v="1"/>
    <x v="0"/>
    <x v="0"/>
    <x v="13"/>
    <x v="5"/>
    <x v="0"/>
    <x v="2"/>
  </r>
  <r>
    <s v="TX500031"/>
    <x v="8"/>
    <x v="3"/>
    <n v="19.100000000000001"/>
    <n v="133.70000000000002"/>
    <x v="0"/>
    <x v="5"/>
    <x v="1"/>
    <x v="0"/>
    <x v="2"/>
    <x v="0"/>
    <x v="14"/>
    <x v="5"/>
    <x v="0"/>
    <x v="1"/>
  </r>
  <r>
    <s v="TX500032"/>
    <x v="2"/>
    <x v="9"/>
    <n v="166.1"/>
    <n v="830.5"/>
    <x v="0"/>
    <x v="2"/>
    <x v="1"/>
    <x v="0"/>
    <x v="0"/>
    <x v="0"/>
    <x v="15"/>
    <x v="2"/>
    <x v="0"/>
    <x v="1"/>
  </r>
  <r>
    <s v="TX500033"/>
    <x v="4"/>
    <x v="2"/>
    <n v="29.9"/>
    <n v="89.699999999999989"/>
    <x v="0"/>
    <x v="3"/>
    <x v="1"/>
    <x v="3"/>
    <x v="0"/>
    <x v="0"/>
    <x v="3"/>
    <x v="3"/>
    <x v="0"/>
    <x v="1"/>
  </r>
  <r>
    <s v="TX500034"/>
    <x v="10"/>
    <x v="13"/>
    <n v="21.7"/>
    <n v="130.19999999999999"/>
    <x v="0"/>
    <x v="1"/>
    <x v="3"/>
    <x v="2"/>
    <x v="2"/>
    <x v="0"/>
    <x v="3"/>
    <x v="1"/>
    <x v="0"/>
    <x v="3"/>
  </r>
  <r>
    <s v="TX500035"/>
    <x v="11"/>
    <x v="1"/>
    <n v="32"/>
    <n v="64"/>
    <x v="0"/>
    <x v="2"/>
    <x v="1"/>
    <x v="0"/>
    <x v="2"/>
    <x v="0"/>
    <x v="3"/>
    <x v="2"/>
    <x v="0"/>
    <x v="1"/>
  </r>
  <r>
    <s v="TX500036"/>
    <x v="8"/>
    <x v="1"/>
    <n v="15.8"/>
    <n v="31.6"/>
    <x v="0"/>
    <x v="3"/>
    <x v="1"/>
    <x v="4"/>
    <x v="2"/>
    <x v="0"/>
    <x v="3"/>
    <x v="3"/>
    <x v="0"/>
    <x v="1"/>
  </r>
  <r>
    <s v="TX500037"/>
    <x v="2"/>
    <x v="14"/>
    <n v="203.1"/>
    <n v="3452.7"/>
    <x v="0"/>
    <x v="5"/>
    <x v="1"/>
    <x v="3"/>
    <x v="1"/>
    <x v="0"/>
    <x v="3"/>
    <x v="5"/>
    <x v="0"/>
    <x v="1"/>
  </r>
  <r>
    <s v="TX500038"/>
    <x v="7"/>
    <x v="15"/>
    <n v="39"/>
    <n v="507"/>
    <x v="0"/>
    <x v="4"/>
    <x v="1"/>
    <x v="0"/>
    <x v="2"/>
    <x v="0"/>
    <x v="3"/>
    <x v="4"/>
    <x v="0"/>
    <x v="1"/>
  </r>
  <r>
    <s v="TX500039"/>
    <x v="10"/>
    <x v="0"/>
    <n v="26.5"/>
    <n v="26.5"/>
    <x v="1"/>
    <x v="1"/>
    <x v="1"/>
    <x v="2"/>
    <x v="0"/>
    <x v="0"/>
    <x v="3"/>
    <x v="3"/>
    <x v="0"/>
    <x v="1"/>
  </r>
  <r>
    <s v="TX500040"/>
    <x v="5"/>
    <x v="0"/>
    <n v="43.1"/>
    <n v="43.1"/>
    <x v="1"/>
    <x v="1"/>
    <x v="2"/>
    <x v="2"/>
    <x v="1"/>
    <x v="0"/>
    <x v="3"/>
    <x v="3"/>
    <x v="0"/>
    <x v="2"/>
  </r>
  <r>
    <s v="TX500041"/>
    <x v="1"/>
    <x v="2"/>
    <n v="139"/>
    <n v="417"/>
    <x v="1"/>
    <x v="1"/>
    <x v="2"/>
    <x v="4"/>
    <x v="2"/>
    <x v="0"/>
    <x v="3"/>
    <x v="3"/>
    <x v="0"/>
    <x v="2"/>
  </r>
  <r>
    <s v="TX500042"/>
    <x v="12"/>
    <x v="0"/>
    <n v="80.7"/>
    <n v="80.7"/>
    <x v="1"/>
    <x v="1"/>
    <x v="1"/>
    <x v="0"/>
    <x v="2"/>
    <x v="0"/>
    <x v="16"/>
    <x v="3"/>
    <x v="0"/>
    <x v="1"/>
  </r>
  <r>
    <s v="TX500043"/>
    <x v="4"/>
    <x v="1"/>
    <n v="54.5"/>
    <n v="109"/>
    <x v="1"/>
    <x v="2"/>
    <x v="1"/>
    <x v="1"/>
    <x v="1"/>
    <x v="0"/>
    <x v="6"/>
    <x v="1"/>
    <x v="0"/>
    <x v="1"/>
  </r>
  <r>
    <s v="TX500044"/>
    <x v="6"/>
    <x v="2"/>
    <n v="68.599999999999994"/>
    <n v="205.79999999999998"/>
    <x v="1"/>
    <x v="3"/>
    <x v="2"/>
    <x v="0"/>
    <x v="1"/>
    <x v="0"/>
    <x v="8"/>
    <x v="7"/>
    <x v="0"/>
    <x v="2"/>
  </r>
  <r>
    <s v="TX500045"/>
    <x v="2"/>
    <x v="12"/>
    <n v="135.9"/>
    <n v="543.6"/>
    <x v="1"/>
    <x v="1"/>
    <x v="2"/>
    <x v="2"/>
    <x v="2"/>
    <x v="0"/>
    <x v="8"/>
    <x v="3"/>
    <x v="0"/>
    <x v="2"/>
  </r>
  <r>
    <s v="TX500046"/>
    <x v="2"/>
    <x v="12"/>
    <n v="70.900000000000006"/>
    <n v="283.60000000000002"/>
    <x v="1"/>
    <x v="1"/>
    <x v="2"/>
    <x v="0"/>
    <x v="0"/>
    <x v="0"/>
    <x v="17"/>
    <x v="3"/>
    <x v="0"/>
    <x v="2"/>
  </r>
  <r>
    <s v="TX500047"/>
    <x v="1"/>
    <x v="9"/>
    <n v="63.7"/>
    <n v="318.5"/>
    <x v="1"/>
    <x v="1"/>
    <x v="1"/>
    <x v="1"/>
    <x v="1"/>
    <x v="0"/>
    <x v="9"/>
    <x v="3"/>
    <x v="0"/>
    <x v="1"/>
  </r>
  <r>
    <s v="TX500048"/>
    <x v="13"/>
    <x v="0"/>
    <n v="29.7"/>
    <n v="29.7"/>
    <x v="1"/>
    <x v="2"/>
    <x v="2"/>
    <x v="1"/>
    <x v="0"/>
    <x v="0"/>
    <x v="11"/>
    <x v="1"/>
    <x v="0"/>
    <x v="2"/>
  </r>
  <r>
    <s v="TX500049"/>
    <x v="4"/>
    <x v="2"/>
    <n v="26.8"/>
    <n v="80.400000000000006"/>
    <x v="1"/>
    <x v="7"/>
    <x v="2"/>
    <x v="1"/>
    <x v="2"/>
    <x v="0"/>
    <x v="11"/>
    <x v="8"/>
    <x v="0"/>
    <x v="2"/>
  </r>
  <r>
    <s v="TX500050"/>
    <x v="14"/>
    <x v="0"/>
    <n v="27"/>
    <n v="27"/>
    <x v="1"/>
    <x v="2"/>
    <x v="2"/>
    <x v="0"/>
    <x v="0"/>
    <x v="0"/>
    <x v="18"/>
    <x v="1"/>
    <x v="0"/>
    <x v="2"/>
  </r>
  <r>
    <s v="TX500051"/>
    <x v="8"/>
    <x v="0"/>
    <n v="41.4"/>
    <n v="41.4"/>
    <x v="1"/>
    <x v="1"/>
    <x v="1"/>
    <x v="1"/>
    <x v="2"/>
    <x v="0"/>
    <x v="19"/>
    <x v="3"/>
    <x v="0"/>
    <x v="1"/>
  </r>
  <r>
    <s v="TX500052"/>
    <x v="8"/>
    <x v="1"/>
    <n v="24.3"/>
    <n v="48.6"/>
    <x v="1"/>
    <x v="5"/>
    <x v="2"/>
    <x v="1"/>
    <x v="0"/>
    <x v="0"/>
    <x v="19"/>
    <x v="2"/>
    <x v="0"/>
    <x v="2"/>
  </r>
  <r>
    <s v="TX500053"/>
    <x v="8"/>
    <x v="2"/>
    <n v="41.7"/>
    <n v="125.10000000000001"/>
    <x v="1"/>
    <x v="2"/>
    <x v="1"/>
    <x v="0"/>
    <x v="2"/>
    <x v="0"/>
    <x v="20"/>
    <x v="1"/>
    <x v="0"/>
    <x v="1"/>
  </r>
  <r>
    <s v="TX500054"/>
    <x v="0"/>
    <x v="1"/>
    <n v="18"/>
    <n v="36"/>
    <x v="1"/>
    <x v="1"/>
    <x v="2"/>
    <x v="0"/>
    <x v="2"/>
    <x v="0"/>
    <x v="21"/>
    <x v="3"/>
    <x v="0"/>
    <x v="2"/>
  </r>
  <r>
    <s v="TX500055"/>
    <x v="7"/>
    <x v="2"/>
    <n v="91.3"/>
    <n v="273.89999999999998"/>
    <x v="1"/>
    <x v="5"/>
    <x v="1"/>
    <x v="2"/>
    <x v="2"/>
    <x v="0"/>
    <x v="3"/>
    <x v="2"/>
    <x v="0"/>
    <x v="1"/>
  </r>
  <r>
    <s v="TX500056"/>
    <x v="8"/>
    <x v="8"/>
    <n v="19.3"/>
    <n v="154.4"/>
    <x v="1"/>
    <x v="1"/>
    <x v="1"/>
    <x v="0"/>
    <x v="0"/>
    <x v="0"/>
    <x v="3"/>
    <x v="3"/>
    <x v="0"/>
    <x v="1"/>
  </r>
  <r>
    <s v="TX500057"/>
    <x v="12"/>
    <x v="15"/>
    <n v="63.2"/>
    <n v="821.6"/>
    <x v="1"/>
    <x v="1"/>
    <x v="2"/>
    <x v="0"/>
    <x v="0"/>
    <x v="0"/>
    <x v="3"/>
    <x v="3"/>
    <x v="0"/>
    <x v="2"/>
  </r>
  <r>
    <s v="TX500058"/>
    <x v="10"/>
    <x v="11"/>
    <n v="33.299999999999997"/>
    <n v="299.7"/>
    <x v="2"/>
    <x v="7"/>
    <x v="2"/>
    <x v="0"/>
    <x v="2"/>
    <x v="0"/>
    <x v="3"/>
    <x v="9"/>
    <x v="0"/>
    <x v="2"/>
  </r>
  <r>
    <s v="TX500059"/>
    <x v="7"/>
    <x v="1"/>
    <n v="64.2"/>
    <n v="128.4"/>
    <x v="2"/>
    <x v="2"/>
    <x v="1"/>
    <x v="0"/>
    <x v="2"/>
    <x v="0"/>
    <x v="3"/>
    <x v="3"/>
    <x v="0"/>
    <x v="1"/>
  </r>
  <r>
    <s v="TX500060"/>
    <x v="9"/>
    <x v="2"/>
    <n v="23.1"/>
    <n v="69.300000000000011"/>
    <x v="2"/>
    <x v="0"/>
    <x v="2"/>
    <x v="1"/>
    <x v="2"/>
    <x v="0"/>
    <x v="3"/>
    <x v="2"/>
    <x v="0"/>
    <x v="2"/>
  </r>
  <r>
    <s v="TX500061"/>
    <x v="15"/>
    <x v="1"/>
    <n v="71.099999999999994"/>
    <n v="142.19999999999999"/>
    <x v="2"/>
    <x v="5"/>
    <x v="2"/>
    <x v="3"/>
    <x v="1"/>
    <x v="0"/>
    <x v="3"/>
    <x v="1"/>
    <x v="0"/>
    <x v="2"/>
  </r>
  <r>
    <s v="TX500062"/>
    <x v="0"/>
    <x v="1"/>
    <n v="11.5"/>
    <n v="23"/>
    <x v="2"/>
    <x v="2"/>
    <x v="2"/>
    <x v="0"/>
    <x v="0"/>
    <x v="0"/>
    <x v="3"/>
    <x v="3"/>
    <x v="0"/>
    <x v="2"/>
  </r>
  <r>
    <s v="TX500063"/>
    <x v="15"/>
    <x v="10"/>
    <n v="69.2"/>
    <n v="1314.8"/>
    <x v="2"/>
    <x v="6"/>
    <x v="2"/>
    <x v="0"/>
    <x v="0"/>
    <x v="0"/>
    <x v="3"/>
    <x v="0"/>
    <x v="0"/>
    <x v="2"/>
  </r>
  <r>
    <s v="TX500064"/>
    <x v="0"/>
    <x v="0"/>
    <n v="26.8"/>
    <n v="26.8"/>
    <x v="2"/>
    <x v="2"/>
    <x v="1"/>
    <x v="2"/>
    <x v="4"/>
    <x v="0"/>
    <x v="3"/>
    <x v="3"/>
    <x v="0"/>
    <x v="1"/>
  </r>
  <r>
    <s v="TX500065"/>
    <x v="16"/>
    <x v="2"/>
    <n v="31.2"/>
    <n v="93.6"/>
    <x v="2"/>
    <x v="0"/>
    <x v="2"/>
    <x v="0"/>
    <x v="0"/>
    <x v="0"/>
    <x v="3"/>
    <x v="2"/>
    <x v="0"/>
    <x v="2"/>
  </r>
  <r>
    <s v="TX500066"/>
    <x v="12"/>
    <x v="1"/>
    <n v="113.2"/>
    <n v="226.4"/>
    <x v="2"/>
    <x v="2"/>
    <x v="2"/>
    <x v="4"/>
    <x v="0"/>
    <x v="0"/>
    <x v="3"/>
    <x v="3"/>
    <x v="0"/>
    <x v="2"/>
  </r>
  <r>
    <s v="TX500067"/>
    <x v="10"/>
    <x v="8"/>
    <n v="21"/>
    <n v="168"/>
    <x v="2"/>
    <x v="2"/>
    <x v="1"/>
    <x v="0"/>
    <x v="0"/>
    <x v="0"/>
    <x v="6"/>
    <x v="3"/>
    <x v="0"/>
    <x v="1"/>
  </r>
  <r>
    <s v="TX500068"/>
    <x v="1"/>
    <x v="1"/>
    <n v="89.1"/>
    <n v="178.2"/>
    <x v="2"/>
    <x v="2"/>
    <x v="2"/>
    <x v="2"/>
    <x v="2"/>
    <x v="0"/>
    <x v="6"/>
    <x v="3"/>
    <x v="0"/>
    <x v="2"/>
  </r>
  <r>
    <s v="TX500069"/>
    <x v="1"/>
    <x v="0"/>
    <n v="97.7"/>
    <n v="97.7"/>
    <x v="2"/>
    <x v="5"/>
    <x v="2"/>
    <x v="0"/>
    <x v="1"/>
    <x v="0"/>
    <x v="6"/>
    <x v="1"/>
    <x v="0"/>
    <x v="2"/>
  </r>
  <r>
    <s v="TX500070"/>
    <x v="15"/>
    <x v="12"/>
    <n v="97.7"/>
    <n v="390.8"/>
    <x v="2"/>
    <x v="5"/>
    <x v="1"/>
    <x v="3"/>
    <x v="0"/>
    <x v="0"/>
    <x v="6"/>
    <x v="1"/>
    <x v="0"/>
    <x v="1"/>
  </r>
  <r>
    <s v="TX500071"/>
    <x v="17"/>
    <x v="2"/>
    <n v="47.4"/>
    <n v="142.19999999999999"/>
    <x v="2"/>
    <x v="0"/>
    <x v="1"/>
    <x v="3"/>
    <x v="2"/>
    <x v="0"/>
    <x v="8"/>
    <x v="2"/>
    <x v="0"/>
    <x v="1"/>
  </r>
  <r>
    <s v="TX500072"/>
    <x v="7"/>
    <x v="0"/>
    <n v="89.6"/>
    <n v="89.6"/>
    <x v="2"/>
    <x v="0"/>
    <x v="2"/>
    <x v="0"/>
    <x v="2"/>
    <x v="0"/>
    <x v="8"/>
    <x v="2"/>
    <x v="0"/>
    <x v="2"/>
  </r>
  <r>
    <s v="TX500073"/>
    <x v="10"/>
    <x v="16"/>
    <n v="28.4"/>
    <n v="511.2"/>
    <x v="2"/>
    <x v="0"/>
    <x v="2"/>
    <x v="3"/>
    <x v="2"/>
    <x v="0"/>
    <x v="17"/>
    <x v="2"/>
    <x v="0"/>
    <x v="2"/>
  </r>
  <r>
    <s v="TX500074"/>
    <x v="0"/>
    <x v="1"/>
    <n v="17.899999999999999"/>
    <n v="35.799999999999997"/>
    <x v="2"/>
    <x v="2"/>
    <x v="2"/>
    <x v="0"/>
    <x v="2"/>
    <x v="0"/>
    <x v="9"/>
    <x v="3"/>
    <x v="0"/>
    <x v="2"/>
  </r>
  <r>
    <s v="TX500075"/>
    <x v="9"/>
    <x v="1"/>
    <n v="48.4"/>
    <n v="96.8"/>
    <x v="2"/>
    <x v="0"/>
    <x v="1"/>
    <x v="1"/>
    <x v="0"/>
    <x v="0"/>
    <x v="9"/>
    <x v="2"/>
    <x v="0"/>
    <x v="1"/>
  </r>
  <r>
    <s v="TX500076"/>
    <x v="12"/>
    <x v="12"/>
    <n v="44.4"/>
    <n v="177.6"/>
    <x v="2"/>
    <x v="2"/>
    <x v="3"/>
    <x v="1"/>
    <x v="1"/>
    <x v="0"/>
    <x v="11"/>
    <x v="3"/>
    <x v="0"/>
    <x v="3"/>
  </r>
  <r>
    <s v="TX500077"/>
    <x v="2"/>
    <x v="8"/>
    <n v="103.7"/>
    <n v="829.6"/>
    <x v="2"/>
    <x v="2"/>
    <x v="2"/>
    <x v="0"/>
    <x v="1"/>
    <x v="0"/>
    <x v="19"/>
    <x v="3"/>
    <x v="0"/>
    <x v="2"/>
  </r>
  <r>
    <s v="TX500078"/>
    <x v="5"/>
    <x v="12"/>
    <n v="58.6"/>
    <n v="234.4"/>
    <x v="2"/>
    <x v="5"/>
    <x v="1"/>
    <x v="3"/>
    <x v="0"/>
    <x v="0"/>
    <x v="19"/>
    <x v="1"/>
    <x v="0"/>
    <x v="1"/>
  </r>
  <r>
    <s v="TX500079"/>
    <x v="9"/>
    <x v="12"/>
    <n v="54.8"/>
    <n v="219.2"/>
    <x v="2"/>
    <x v="4"/>
    <x v="2"/>
    <x v="2"/>
    <x v="1"/>
    <x v="0"/>
    <x v="13"/>
    <x v="5"/>
    <x v="0"/>
    <x v="2"/>
  </r>
  <r>
    <s v="TX500080"/>
    <x v="12"/>
    <x v="2"/>
    <n v="78.8"/>
    <n v="236.39999999999998"/>
    <x v="2"/>
    <x v="8"/>
    <x v="2"/>
    <x v="4"/>
    <x v="1"/>
    <x v="0"/>
    <x v="21"/>
    <x v="4"/>
    <x v="0"/>
    <x v="2"/>
  </r>
  <r>
    <s v="TX500081"/>
    <x v="18"/>
    <x v="9"/>
    <n v="36.799999999999997"/>
    <n v="184"/>
    <x v="2"/>
    <x v="0"/>
    <x v="1"/>
    <x v="4"/>
    <x v="1"/>
    <x v="0"/>
    <x v="22"/>
    <x v="2"/>
    <x v="0"/>
    <x v="1"/>
  </r>
  <r>
    <s v="TX500082"/>
    <x v="6"/>
    <x v="13"/>
    <n v="50.6"/>
    <n v="303.60000000000002"/>
    <x v="2"/>
    <x v="5"/>
    <x v="2"/>
    <x v="3"/>
    <x v="0"/>
    <x v="0"/>
    <x v="3"/>
    <x v="1"/>
    <x v="0"/>
    <x v="2"/>
  </r>
  <r>
    <s v="TX500083"/>
    <x v="15"/>
    <x v="2"/>
    <n v="36.799999999999997"/>
    <n v="110.39999999999999"/>
    <x v="2"/>
    <x v="1"/>
    <x v="1"/>
    <x v="2"/>
    <x v="1"/>
    <x v="0"/>
    <x v="3"/>
    <x v="7"/>
    <x v="0"/>
    <x v="1"/>
  </r>
  <r>
    <s v="TX500084"/>
    <x v="8"/>
    <x v="11"/>
    <n v="41.8"/>
    <n v="376.2"/>
    <x v="3"/>
    <x v="9"/>
    <x v="2"/>
    <x v="3"/>
    <x v="0"/>
    <x v="0"/>
    <x v="3"/>
    <x v="4"/>
    <x v="0"/>
    <x v="2"/>
  </r>
  <r>
    <s v="TX500085"/>
    <x v="18"/>
    <x v="0"/>
    <n v="77.3"/>
    <n v="77.3"/>
    <x v="3"/>
    <x v="5"/>
    <x v="1"/>
    <x v="4"/>
    <x v="4"/>
    <x v="0"/>
    <x v="3"/>
    <x v="3"/>
    <x v="0"/>
    <x v="1"/>
  </r>
  <r>
    <s v="TX500086"/>
    <x v="8"/>
    <x v="12"/>
    <n v="19.8"/>
    <n v="79.2"/>
    <x v="3"/>
    <x v="9"/>
    <x v="1"/>
    <x v="1"/>
    <x v="2"/>
    <x v="0"/>
    <x v="3"/>
    <x v="4"/>
    <x v="0"/>
    <x v="1"/>
  </r>
  <r>
    <s v="TX500087"/>
    <x v="13"/>
    <x v="12"/>
    <n v="15.5"/>
    <n v="62"/>
    <x v="3"/>
    <x v="5"/>
    <x v="2"/>
    <x v="1"/>
    <x v="2"/>
    <x v="0"/>
    <x v="3"/>
    <x v="3"/>
    <x v="0"/>
    <x v="2"/>
  </r>
  <r>
    <s v="TX500088"/>
    <x v="12"/>
    <x v="0"/>
    <n v="46.8"/>
    <n v="46.8"/>
    <x v="3"/>
    <x v="6"/>
    <x v="1"/>
    <x v="0"/>
    <x v="2"/>
    <x v="0"/>
    <x v="3"/>
    <x v="5"/>
    <x v="0"/>
    <x v="1"/>
  </r>
  <r>
    <s v="TX500089"/>
    <x v="9"/>
    <x v="11"/>
    <n v="28.6"/>
    <n v="257.40000000000003"/>
    <x v="3"/>
    <x v="6"/>
    <x v="1"/>
    <x v="0"/>
    <x v="2"/>
    <x v="0"/>
    <x v="3"/>
    <x v="5"/>
    <x v="0"/>
    <x v="1"/>
  </r>
  <r>
    <s v="TX500090"/>
    <x v="2"/>
    <x v="0"/>
    <n v="97.7"/>
    <n v="97.7"/>
    <x v="3"/>
    <x v="4"/>
    <x v="2"/>
    <x v="1"/>
    <x v="0"/>
    <x v="0"/>
    <x v="3"/>
    <x v="2"/>
    <x v="0"/>
    <x v="2"/>
  </r>
  <r>
    <s v="TX500091"/>
    <x v="9"/>
    <x v="9"/>
    <n v="54.7"/>
    <n v="273.5"/>
    <x v="3"/>
    <x v="4"/>
    <x v="0"/>
    <x v="0"/>
    <x v="2"/>
    <x v="0"/>
    <x v="23"/>
    <x v="2"/>
    <x v="0"/>
    <x v="0"/>
  </r>
  <r>
    <s v="TX500092"/>
    <x v="2"/>
    <x v="13"/>
    <n v="130.5"/>
    <n v="783"/>
    <x v="3"/>
    <x v="0"/>
    <x v="2"/>
    <x v="0"/>
    <x v="1"/>
    <x v="0"/>
    <x v="23"/>
    <x v="1"/>
    <x v="0"/>
    <x v="2"/>
  </r>
  <r>
    <s v="TX500093"/>
    <x v="11"/>
    <x v="1"/>
    <n v="50.4"/>
    <n v="100.8"/>
    <x v="3"/>
    <x v="0"/>
    <x v="1"/>
    <x v="2"/>
    <x v="2"/>
    <x v="0"/>
    <x v="6"/>
    <x v="1"/>
    <x v="0"/>
    <x v="1"/>
  </r>
  <r>
    <s v="TX500094"/>
    <x v="6"/>
    <x v="15"/>
    <n v="61.5"/>
    <n v="799.5"/>
    <x v="3"/>
    <x v="5"/>
    <x v="0"/>
    <x v="3"/>
    <x v="1"/>
    <x v="0"/>
    <x v="11"/>
    <x v="3"/>
    <x v="0"/>
    <x v="0"/>
  </r>
  <r>
    <s v="TX500095"/>
    <x v="9"/>
    <x v="12"/>
    <n v="30.1"/>
    <n v="120.4"/>
    <x v="3"/>
    <x v="5"/>
    <x v="2"/>
    <x v="0"/>
    <x v="2"/>
    <x v="0"/>
    <x v="21"/>
    <x v="3"/>
    <x v="0"/>
    <x v="2"/>
  </r>
  <r>
    <s v="TX500096"/>
    <x v="2"/>
    <x v="9"/>
    <n v="74.8"/>
    <n v="374"/>
    <x v="3"/>
    <x v="5"/>
    <x v="2"/>
    <x v="1"/>
    <x v="0"/>
    <x v="0"/>
    <x v="1"/>
    <x v="3"/>
    <x v="0"/>
    <x v="2"/>
  </r>
  <r>
    <s v="TX500097"/>
    <x v="16"/>
    <x v="2"/>
    <n v="64.900000000000006"/>
    <n v="194.70000000000002"/>
    <x v="3"/>
    <x v="7"/>
    <x v="1"/>
    <x v="0"/>
    <x v="0"/>
    <x v="0"/>
    <x v="2"/>
    <x v="6"/>
    <x v="0"/>
    <x v="1"/>
  </r>
  <r>
    <s v="TX500098"/>
    <x v="9"/>
    <x v="1"/>
    <n v="50.5"/>
    <n v="101"/>
    <x v="3"/>
    <x v="0"/>
    <x v="1"/>
    <x v="1"/>
    <x v="0"/>
    <x v="0"/>
    <x v="22"/>
    <x v="1"/>
    <x v="0"/>
    <x v="1"/>
  </r>
  <r>
    <s v="TX500099"/>
    <x v="11"/>
    <x v="3"/>
    <n v="63"/>
    <n v="441"/>
    <x v="3"/>
    <x v="4"/>
    <x v="1"/>
    <x v="3"/>
    <x v="2"/>
    <x v="0"/>
    <x v="3"/>
    <x v="2"/>
    <x v="0"/>
    <x v="1"/>
  </r>
  <r>
    <s v="TX500100"/>
    <x v="2"/>
    <x v="2"/>
    <n v="93.6"/>
    <n v="280.79999999999995"/>
    <x v="3"/>
    <x v="10"/>
    <x v="2"/>
    <x v="0"/>
    <x v="2"/>
    <x v="0"/>
    <x v="3"/>
    <x v="10"/>
    <x v="0"/>
    <x v="2"/>
  </r>
  <r>
    <s v="TX500101"/>
    <x v="5"/>
    <x v="17"/>
    <n v="41.4"/>
    <n v="1242"/>
    <x v="3"/>
    <x v="6"/>
    <x v="1"/>
    <x v="2"/>
    <x v="2"/>
    <x v="0"/>
    <x v="3"/>
    <x v="5"/>
    <x v="0"/>
    <x v="1"/>
  </r>
  <r>
    <s v="TX500102"/>
    <x v="2"/>
    <x v="1"/>
    <n v="160"/>
    <n v="320"/>
    <x v="4"/>
    <x v="0"/>
    <x v="1"/>
    <x v="2"/>
    <x v="2"/>
    <x v="0"/>
    <x v="5"/>
    <x v="3"/>
    <x v="1"/>
    <x v="1"/>
  </r>
  <r>
    <s v="TX500103"/>
    <x v="19"/>
    <x v="5"/>
    <n v="10.5"/>
    <n v="115.5"/>
    <x v="4"/>
    <x v="6"/>
    <x v="2"/>
    <x v="4"/>
    <x v="0"/>
    <x v="0"/>
    <x v="8"/>
    <x v="2"/>
    <x v="1"/>
    <x v="2"/>
  </r>
  <r>
    <s v="TX500104"/>
    <x v="10"/>
    <x v="1"/>
    <n v="53"/>
    <n v="106"/>
    <x v="4"/>
    <x v="5"/>
    <x v="1"/>
    <x v="2"/>
    <x v="4"/>
    <x v="0"/>
    <x v="17"/>
    <x v="7"/>
    <x v="1"/>
    <x v="1"/>
  </r>
  <r>
    <s v="TX500105"/>
    <x v="8"/>
    <x v="2"/>
    <n v="18.5"/>
    <n v="55.5"/>
    <x v="4"/>
    <x v="9"/>
    <x v="2"/>
    <x v="1"/>
    <x v="2"/>
    <x v="0"/>
    <x v="11"/>
    <x v="0"/>
    <x v="1"/>
    <x v="2"/>
  </r>
  <r>
    <s v="TX500106"/>
    <x v="16"/>
    <x v="2"/>
    <n v="84.5"/>
    <n v="253.5"/>
    <x v="4"/>
    <x v="4"/>
    <x v="2"/>
    <x v="4"/>
    <x v="1"/>
    <x v="0"/>
    <x v="13"/>
    <x v="1"/>
    <x v="1"/>
    <x v="2"/>
  </r>
  <r>
    <s v="TX500107"/>
    <x v="15"/>
    <x v="3"/>
    <n v="31.2"/>
    <n v="218.4"/>
    <x v="4"/>
    <x v="5"/>
    <x v="2"/>
    <x v="2"/>
    <x v="2"/>
    <x v="0"/>
    <x v="3"/>
    <x v="7"/>
    <x v="1"/>
    <x v="2"/>
  </r>
  <r>
    <s v="TX500108"/>
    <x v="8"/>
    <x v="16"/>
    <n v="32.6"/>
    <n v="586.80000000000007"/>
    <x v="4"/>
    <x v="0"/>
    <x v="1"/>
    <x v="1"/>
    <x v="1"/>
    <x v="0"/>
    <x v="3"/>
    <x v="3"/>
    <x v="1"/>
    <x v="1"/>
  </r>
  <r>
    <s v="TX500109"/>
    <x v="10"/>
    <x v="12"/>
    <n v="45.4"/>
    <n v="181.6"/>
    <x v="4"/>
    <x v="4"/>
    <x v="1"/>
    <x v="1"/>
    <x v="0"/>
    <x v="0"/>
    <x v="3"/>
    <x v="1"/>
    <x v="1"/>
    <x v="1"/>
  </r>
  <r>
    <s v="TX500110"/>
    <x v="2"/>
    <x v="4"/>
    <n v="120"/>
    <n v="1440"/>
    <x v="4"/>
    <x v="0"/>
    <x v="2"/>
    <x v="2"/>
    <x v="4"/>
    <x v="0"/>
    <x v="3"/>
    <x v="3"/>
    <x v="1"/>
    <x v="2"/>
  </r>
  <r>
    <s v="TX500111"/>
    <x v="0"/>
    <x v="12"/>
    <n v="18.899999999999999"/>
    <n v="75.599999999999994"/>
    <x v="4"/>
    <x v="4"/>
    <x v="1"/>
    <x v="0"/>
    <x v="2"/>
    <x v="0"/>
    <x v="3"/>
    <x v="1"/>
    <x v="1"/>
    <x v="1"/>
  </r>
  <r>
    <s v="TX500112"/>
    <x v="4"/>
    <x v="0"/>
    <n v="32"/>
    <n v="32"/>
    <x v="4"/>
    <x v="4"/>
    <x v="2"/>
    <x v="4"/>
    <x v="0"/>
    <x v="0"/>
    <x v="3"/>
    <x v="1"/>
    <x v="1"/>
    <x v="2"/>
  </r>
  <r>
    <s v="TX500113"/>
    <x v="7"/>
    <x v="1"/>
    <n v="37.299999999999997"/>
    <n v="74.599999999999994"/>
    <x v="4"/>
    <x v="0"/>
    <x v="1"/>
    <x v="2"/>
    <x v="0"/>
    <x v="0"/>
    <x v="3"/>
    <x v="3"/>
    <x v="1"/>
    <x v="1"/>
  </r>
  <r>
    <s v="TX500114"/>
    <x v="18"/>
    <x v="0"/>
    <n v="119.8"/>
    <n v="119.8"/>
    <x v="4"/>
    <x v="0"/>
    <x v="1"/>
    <x v="1"/>
    <x v="1"/>
    <x v="0"/>
    <x v="3"/>
    <x v="3"/>
    <x v="1"/>
    <x v="1"/>
  </r>
  <r>
    <s v="TX500115"/>
    <x v="10"/>
    <x v="1"/>
    <n v="26.4"/>
    <n v="52.8"/>
    <x v="4"/>
    <x v="6"/>
    <x v="1"/>
    <x v="2"/>
    <x v="0"/>
    <x v="0"/>
    <x v="3"/>
    <x v="2"/>
    <x v="1"/>
    <x v="1"/>
  </r>
  <r>
    <s v="TX500116"/>
    <x v="6"/>
    <x v="13"/>
    <n v="76.5"/>
    <n v="459"/>
    <x v="4"/>
    <x v="0"/>
    <x v="2"/>
    <x v="1"/>
    <x v="1"/>
    <x v="0"/>
    <x v="3"/>
    <x v="3"/>
    <x v="1"/>
    <x v="2"/>
  </r>
  <r>
    <s v="TX500117"/>
    <x v="4"/>
    <x v="7"/>
    <n v="45.7"/>
    <n v="457"/>
    <x v="4"/>
    <x v="0"/>
    <x v="2"/>
    <x v="2"/>
    <x v="0"/>
    <x v="0"/>
    <x v="24"/>
    <x v="3"/>
    <x v="1"/>
    <x v="2"/>
  </r>
  <r>
    <s v="TX500118"/>
    <x v="1"/>
    <x v="4"/>
    <n v="92.6"/>
    <n v="1111.1999999999998"/>
    <x v="4"/>
    <x v="4"/>
    <x v="2"/>
    <x v="2"/>
    <x v="0"/>
    <x v="0"/>
    <x v="25"/>
    <x v="1"/>
    <x v="1"/>
    <x v="2"/>
  </r>
  <r>
    <s v="TX500119"/>
    <x v="6"/>
    <x v="13"/>
    <n v="60.1"/>
    <n v="360.6"/>
    <x v="4"/>
    <x v="0"/>
    <x v="1"/>
    <x v="1"/>
    <x v="0"/>
    <x v="0"/>
    <x v="23"/>
    <x v="3"/>
    <x v="1"/>
    <x v="1"/>
  </r>
  <r>
    <s v="TX500120"/>
    <x v="1"/>
    <x v="2"/>
    <n v="73"/>
    <n v="219"/>
    <x v="4"/>
    <x v="0"/>
    <x v="2"/>
    <x v="3"/>
    <x v="1"/>
    <x v="0"/>
    <x v="6"/>
    <x v="3"/>
    <x v="1"/>
    <x v="2"/>
  </r>
  <r>
    <s v="TX500121"/>
    <x v="6"/>
    <x v="2"/>
    <n v="44.3"/>
    <n v="132.89999999999998"/>
    <x v="4"/>
    <x v="8"/>
    <x v="0"/>
    <x v="2"/>
    <x v="2"/>
    <x v="0"/>
    <x v="6"/>
    <x v="5"/>
    <x v="1"/>
    <x v="0"/>
  </r>
  <r>
    <s v="TX500122"/>
    <x v="6"/>
    <x v="2"/>
    <n v="63.3"/>
    <n v="189.89999999999998"/>
    <x v="4"/>
    <x v="0"/>
    <x v="1"/>
    <x v="2"/>
    <x v="0"/>
    <x v="0"/>
    <x v="6"/>
    <x v="3"/>
    <x v="1"/>
    <x v="1"/>
  </r>
  <r>
    <s v="TX500123"/>
    <x v="12"/>
    <x v="0"/>
    <n v="66.8"/>
    <n v="66.8"/>
    <x v="4"/>
    <x v="0"/>
    <x v="2"/>
    <x v="1"/>
    <x v="0"/>
    <x v="0"/>
    <x v="6"/>
    <x v="3"/>
    <x v="1"/>
    <x v="2"/>
  </r>
  <r>
    <s v="TX500124"/>
    <x v="2"/>
    <x v="1"/>
    <n v="59.7"/>
    <n v="119.4"/>
    <x v="4"/>
    <x v="0"/>
    <x v="2"/>
    <x v="0"/>
    <x v="0"/>
    <x v="0"/>
    <x v="7"/>
    <x v="3"/>
    <x v="1"/>
    <x v="2"/>
  </r>
  <r>
    <s v="TX500125"/>
    <x v="1"/>
    <x v="13"/>
    <n v="92"/>
    <n v="552"/>
    <x v="4"/>
    <x v="4"/>
    <x v="1"/>
    <x v="0"/>
    <x v="4"/>
    <x v="0"/>
    <x v="7"/>
    <x v="1"/>
    <x v="1"/>
    <x v="1"/>
  </r>
  <r>
    <s v="TX500126"/>
    <x v="7"/>
    <x v="1"/>
    <n v="87.6"/>
    <n v="175.2"/>
    <x v="4"/>
    <x v="4"/>
    <x v="1"/>
    <x v="1"/>
    <x v="1"/>
    <x v="0"/>
    <x v="8"/>
    <x v="1"/>
    <x v="1"/>
    <x v="1"/>
  </r>
  <r>
    <s v="TX500127"/>
    <x v="6"/>
    <x v="2"/>
    <n v="84.5"/>
    <n v="253.5"/>
    <x v="4"/>
    <x v="0"/>
    <x v="2"/>
    <x v="1"/>
    <x v="1"/>
    <x v="0"/>
    <x v="8"/>
    <x v="3"/>
    <x v="1"/>
    <x v="2"/>
  </r>
  <r>
    <s v="TX500128"/>
    <x v="1"/>
    <x v="1"/>
    <n v="116.3"/>
    <n v="232.6"/>
    <x v="5"/>
    <x v="6"/>
    <x v="1"/>
    <x v="2"/>
    <x v="2"/>
    <x v="0"/>
    <x v="8"/>
    <x v="1"/>
    <x v="1"/>
    <x v="1"/>
  </r>
  <r>
    <s v="TX500129"/>
    <x v="6"/>
    <x v="9"/>
    <n v="52.7"/>
    <n v="263.5"/>
    <x v="5"/>
    <x v="9"/>
    <x v="1"/>
    <x v="0"/>
    <x v="0"/>
    <x v="0"/>
    <x v="8"/>
    <x v="5"/>
    <x v="1"/>
    <x v="1"/>
  </r>
  <r>
    <s v="TX500130"/>
    <x v="16"/>
    <x v="2"/>
    <n v="34.200000000000003"/>
    <n v="102.60000000000001"/>
    <x v="5"/>
    <x v="4"/>
    <x v="1"/>
    <x v="0"/>
    <x v="2"/>
    <x v="0"/>
    <x v="26"/>
    <x v="3"/>
    <x v="1"/>
    <x v="1"/>
  </r>
  <r>
    <s v="TX500131"/>
    <x v="9"/>
    <x v="0"/>
    <n v="23.3"/>
    <n v="23.3"/>
    <x v="5"/>
    <x v="11"/>
    <x v="3"/>
    <x v="2"/>
    <x v="2"/>
    <x v="0"/>
    <x v="9"/>
    <x v="8"/>
    <x v="1"/>
    <x v="3"/>
  </r>
  <r>
    <s v="TX500132"/>
    <x v="0"/>
    <x v="18"/>
    <n v="25.9"/>
    <n v="673.4"/>
    <x v="5"/>
    <x v="8"/>
    <x v="2"/>
    <x v="4"/>
    <x v="1"/>
    <x v="0"/>
    <x v="9"/>
    <x v="2"/>
    <x v="1"/>
    <x v="2"/>
  </r>
  <r>
    <s v="TX500133"/>
    <x v="6"/>
    <x v="19"/>
    <n v="54.9"/>
    <n v="1592.1"/>
    <x v="5"/>
    <x v="4"/>
    <x v="1"/>
    <x v="1"/>
    <x v="2"/>
    <x v="0"/>
    <x v="9"/>
    <x v="3"/>
    <x v="1"/>
    <x v="1"/>
  </r>
  <r>
    <s v="TX500134"/>
    <x v="5"/>
    <x v="2"/>
    <n v="75.8"/>
    <n v="227.39999999999998"/>
    <x v="5"/>
    <x v="7"/>
    <x v="3"/>
    <x v="1"/>
    <x v="0"/>
    <x v="0"/>
    <x v="18"/>
    <x v="0"/>
    <x v="1"/>
    <x v="3"/>
  </r>
  <r>
    <s v="TX500135"/>
    <x v="1"/>
    <x v="11"/>
    <n v="44.9"/>
    <n v="404.09999999999997"/>
    <x v="5"/>
    <x v="8"/>
    <x v="2"/>
    <x v="2"/>
    <x v="2"/>
    <x v="0"/>
    <x v="2"/>
    <x v="2"/>
    <x v="1"/>
    <x v="2"/>
  </r>
  <r>
    <s v="TX500136"/>
    <x v="11"/>
    <x v="1"/>
    <n v="48.8"/>
    <n v="97.6"/>
    <x v="5"/>
    <x v="6"/>
    <x v="2"/>
    <x v="3"/>
    <x v="0"/>
    <x v="0"/>
    <x v="27"/>
    <x v="1"/>
    <x v="1"/>
    <x v="2"/>
  </r>
  <r>
    <s v="TX500137"/>
    <x v="15"/>
    <x v="0"/>
    <n v="20.3"/>
    <n v="20.3"/>
    <x v="5"/>
    <x v="4"/>
    <x v="2"/>
    <x v="0"/>
    <x v="2"/>
    <x v="0"/>
    <x v="22"/>
    <x v="3"/>
    <x v="1"/>
    <x v="2"/>
  </r>
  <r>
    <s v="TX500138"/>
    <x v="5"/>
    <x v="3"/>
    <n v="36.4"/>
    <n v="254.79999999999998"/>
    <x v="5"/>
    <x v="8"/>
    <x v="2"/>
    <x v="0"/>
    <x v="1"/>
    <x v="0"/>
    <x v="3"/>
    <x v="2"/>
    <x v="1"/>
    <x v="2"/>
  </r>
  <r>
    <s v="TX500139"/>
    <x v="0"/>
    <x v="0"/>
    <n v="19"/>
    <n v="19"/>
    <x v="5"/>
    <x v="7"/>
    <x v="2"/>
    <x v="1"/>
    <x v="2"/>
    <x v="0"/>
    <x v="3"/>
    <x v="0"/>
    <x v="1"/>
    <x v="2"/>
  </r>
  <r>
    <s v="TX500140"/>
    <x v="8"/>
    <x v="0"/>
    <n v="17.8"/>
    <n v="17.8"/>
    <x v="5"/>
    <x v="0"/>
    <x v="1"/>
    <x v="0"/>
    <x v="0"/>
    <x v="0"/>
    <x v="3"/>
    <x v="7"/>
    <x v="1"/>
    <x v="1"/>
  </r>
  <r>
    <s v="TX500141"/>
    <x v="2"/>
    <x v="13"/>
    <n v="139.6"/>
    <n v="837.59999999999991"/>
    <x v="5"/>
    <x v="8"/>
    <x v="1"/>
    <x v="0"/>
    <x v="0"/>
    <x v="0"/>
    <x v="3"/>
    <x v="2"/>
    <x v="1"/>
    <x v="1"/>
  </r>
  <r>
    <s v="TX500142"/>
    <x v="9"/>
    <x v="0"/>
    <n v="31.7"/>
    <n v="31.7"/>
    <x v="5"/>
    <x v="0"/>
    <x v="0"/>
    <x v="0"/>
    <x v="0"/>
    <x v="0"/>
    <x v="3"/>
    <x v="7"/>
    <x v="1"/>
    <x v="0"/>
  </r>
  <r>
    <s v="TX500143"/>
    <x v="8"/>
    <x v="8"/>
    <n v="26.3"/>
    <n v="210.4"/>
    <x v="5"/>
    <x v="8"/>
    <x v="2"/>
    <x v="4"/>
    <x v="4"/>
    <x v="0"/>
    <x v="3"/>
    <x v="2"/>
    <x v="1"/>
    <x v="2"/>
  </r>
  <r>
    <s v="TX500144"/>
    <x v="4"/>
    <x v="1"/>
    <n v="47.8"/>
    <n v="95.6"/>
    <x v="5"/>
    <x v="4"/>
    <x v="0"/>
    <x v="0"/>
    <x v="0"/>
    <x v="0"/>
    <x v="3"/>
    <x v="3"/>
    <x v="1"/>
    <x v="0"/>
  </r>
  <r>
    <s v="TX500145"/>
    <x v="9"/>
    <x v="2"/>
    <n v="69.400000000000006"/>
    <n v="208.20000000000002"/>
    <x v="5"/>
    <x v="9"/>
    <x v="2"/>
    <x v="0"/>
    <x v="0"/>
    <x v="0"/>
    <x v="3"/>
    <x v="5"/>
    <x v="1"/>
    <x v="2"/>
  </r>
  <r>
    <s v="TX500146"/>
    <x v="18"/>
    <x v="4"/>
    <n v="25.8"/>
    <n v="309.60000000000002"/>
    <x v="5"/>
    <x v="4"/>
    <x v="1"/>
    <x v="4"/>
    <x v="4"/>
    <x v="0"/>
    <x v="3"/>
    <x v="3"/>
    <x v="1"/>
    <x v="1"/>
  </r>
  <r>
    <s v="TX500147"/>
    <x v="0"/>
    <x v="12"/>
    <n v="26.4"/>
    <n v="105.6"/>
    <x v="5"/>
    <x v="4"/>
    <x v="1"/>
    <x v="1"/>
    <x v="2"/>
    <x v="0"/>
    <x v="3"/>
    <x v="3"/>
    <x v="1"/>
    <x v="1"/>
  </r>
  <r>
    <s v="TX500148"/>
    <x v="8"/>
    <x v="12"/>
    <n v="15.7"/>
    <n v="62.8"/>
    <x v="5"/>
    <x v="4"/>
    <x v="1"/>
    <x v="2"/>
    <x v="0"/>
    <x v="0"/>
    <x v="3"/>
    <x v="3"/>
    <x v="1"/>
    <x v="1"/>
  </r>
  <r>
    <s v="TX500149"/>
    <x v="8"/>
    <x v="0"/>
    <n v="39.700000000000003"/>
    <n v="39.700000000000003"/>
    <x v="5"/>
    <x v="9"/>
    <x v="1"/>
    <x v="0"/>
    <x v="0"/>
    <x v="0"/>
    <x v="3"/>
    <x v="5"/>
    <x v="1"/>
    <x v="1"/>
  </r>
  <r>
    <s v="TX500150"/>
    <x v="10"/>
    <x v="12"/>
    <n v="31.1"/>
    <n v="124.4"/>
    <x v="5"/>
    <x v="6"/>
    <x v="2"/>
    <x v="2"/>
    <x v="1"/>
    <x v="0"/>
    <x v="3"/>
    <x v="1"/>
    <x v="1"/>
    <x v="2"/>
  </r>
  <r>
    <s v="TX500151"/>
    <x v="13"/>
    <x v="20"/>
    <n v="23.4"/>
    <n v="351"/>
    <x v="5"/>
    <x v="11"/>
    <x v="1"/>
    <x v="0"/>
    <x v="0"/>
    <x v="0"/>
    <x v="3"/>
    <x v="8"/>
    <x v="1"/>
    <x v="1"/>
  </r>
  <r>
    <s v="TX500152"/>
    <x v="1"/>
    <x v="12"/>
    <n v="57.1"/>
    <n v="228.4"/>
    <x v="6"/>
    <x v="6"/>
    <x v="1"/>
    <x v="2"/>
    <x v="0"/>
    <x v="0"/>
    <x v="25"/>
    <x v="3"/>
    <x v="1"/>
    <x v="1"/>
  </r>
  <r>
    <s v="TX500153"/>
    <x v="2"/>
    <x v="9"/>
    <n v="89.9"/>
    <n v="449.5"/>
    <x v="6"/>
    <x v="4"/>
    <x v="2"/>
    <x v="0"/>
    <x v="3"/>
    <x v="0"/>
    <x v="23"/>
    <x v="7"/>
    <x v="1"/>
    <x v="2"/>
  </r>
  <r>
    <s v="TX500154"/>
    <x v="10"/>
    <x v="3"/>
    <n v="48.1"/>
    <n v="336.7"/>
    <x v="6"/>
    <x v="8"/>
    <x v="2"/>
    <x v="1"/>
    <x v="2"/>
    <x v="0"/>
    <x v="6"/>
    <x v="1"/>
    <x v="1"/>
    <x v="2"/>
  </r>
  <r>
    <s v="TX500155"/>
    <x v="8"/>
    <x v="1"/>
    <n v="29.3"/>
    <n v="58.6"/>
    <x v="6"/>
    <x v="4"/>
    <x v="2"/>
    <x v="1"/>
    <x v="1"/>
    <x v="0"/>
    <x v="6"/>
    <x v="7"/>
    <x v="1"/>
    <x v="2"/>
  </r>
  <r>
    <s v="TX500156"/>
    <x v="8"/>
    <x v="12"/>
    <n v="28.8"/>
    <n v="115.2"/>
    <x v="6"/>
    <x v="6"/>
    <x v="2"/>
    <x v="0"/>
    <x v="4"/>
    <x v="0"/>
    <x v="6"/>
    <x v="3"/>
    <x v="1"/>
    <x v="2"/>
  </r>
  <r>
    <s v="TX500157"/>
    <x v="10"/>
    <x v="9"/>
    <n v="40.5"/>
    <n v="202.5"/>
    <x v="6"/>
    <x v="7"/>
    <x v="2"/>
    <x v="3"/>
    <x v="0"/>
    <x v="0"/>
    <x v="6"/>
    <x v="5"/>
    <x v="1"/>
    <x v="2"/>
  </r>
  <r>
    <s v="TX500158"/>
    <x v="18"/>
    <x v="21"/>
    <n v="65.099999999999994"/>
    <n v="911.39999999999986"/>
    <x v="6"/>
    <x v="6"/>
    <x v="2"/>
    <x v="4"/>
    <x v="0"/>
    <x v="0"/>
    <x v="7"/>
    <x v="3"/>
    <x v="1"/>
    <x v="2"/>
  </r>
  <r>
    <s v="TX500159"/>
    <x v="8"/>
    <x v="12"/>
    <n v="40.299999999999997"/>
    <n v="161.19999999999999"/>
    <x v="6"/>
    <x v="12"/>
    <x v="2"/>
    <x v="2"/>
    <x v="0"/>
    <x v="0"/>
    <x v="7"/>
    <x v="0"/>
    <x v="1"/>
    <x v="2"/>
  </r>
  <r>
    <s v="TX500160"/>
    <x v="6"/>
    <x v="9"/>
    <n v="51.8"/>
    <n v="259"/>
    <x v="6"/>
    <x v="6"/>
    <x v="1"/>
    <x v="2"/>
    <x v="2"/>
    <x v="0"/>
    <x v="8"/>
    <x v="3"/>
    <x v="1"/>
    <x v="1"/>
  </r>
  <r>
    <s v="TX500161"/>
    <x v="6"/>
    <x v="2"/>
    <n v="61.3"/>
    <n v="183.89999999999998"/>
    <x v="6"/>
    <x v="6"/>
    <x v="2"/>
    <x v="3"/>
    <x v="0"/>
    <x v="0"/>
    <x v="8"/>
    <x v="3"/>
    <x v="1"/>
    <x v="2"/>
  </r>
  <r>
    <s v="TX500162"/>
    <x v="2"/>
    <x v="12"/>
    <n v="122.5"/>
    <n v="490"/>
    <x v="6"/>
    <x v="6"/>
    <x v="1"/>
    <x v="0"/>
    <x v="0"/>
    <x v="0"/>
    <x v="8"/>
    <x v="3"/>
    <x v="1"/>
    <x v="1"/>
  </r>
  <r>
    <s v="TX500163"/>
    <x v="0"/>
    <x v="11"/>
    <n v="12.5"/>
    <n v="112.5"/>
    <x v="6"/>
    <x v="6"/>
    <x v="0"/>
    <x v="1"/>
    <x v="2"/>
    <x v="0"/>
    <x v="8"/>
    <x v="3"/>
    <x v="1"/>
    <x v="0"/>
  </r>
  <r>
    <s v="TX500164"/>
    <x v="15"/>
    <x v="8"/>
    <n v="37.5"/>
    <n v="300"/>
    <x v="6"/>
    <x v="6"/>
    <x v="2"/>
    <x v="0"/>
    <x v="0"/>
    <x v="0"/>
    <x v="9"/>
    <x v="3"/>
    <x v="1"/>
    <x v="2"/>
  </r>
  <r>
    <s v="TX500165"/>
    <x v="6"/>
    <x v="2"/>
    <n v="40"/>
    <n v="120"/>
    <x v="6"/>
    <x v="9"/>
    <x v="1"/>
    <x v="0"/>
    <x v="4"/>
    <x v="0"/>
    <x v="11"/>
    <x v="2"/>
    <x v="1"/>
    <x v="1"/>
  </r>
  <r>
    <s v="TX500166"/>
    <x v="17"/>
    <x v="8"/>
    <n v="38.5"/>
    <n v="308"/>
    <x v="6"/>
    <x v="12"/>
    <x v="2"/>
    <x v="2"/>
    <x v="1"/>
    <x v="0"/>
    <x v="11"/>
    <x v="0"/>
    <x v="1"/>
    <x v="2"/>
  </r>
  <r>
    <s v="TX500167"/>
    <x v="2"/>
    <x v="1"/>
    <n v="86.4"/>
    <n v="172.8"/>
    <x v="6"/>
    <x v="8"/>
    <x v="2"/>
    <x v="0"/>
    <x v="0"/>
    <x v="0"/>
    <x v="18"/>
    <x v="1"/>
    <x v="1"/>
    <x v="2"/>
  </r>
  <r>
    <s v="TX500168"/>
    <x v="10"/>
    <x v="0"/>
    <n v="50.7"/>
    <n v="50.7"/>
    <x v="6"/>
    <x v="7"/>
    <x v="2"/>
    <x v="1"/>
    <x v="0"/>
    <x v="0"/>
    <x v="18"/>
    <x v="5"/>
    <x v="1"/>
    <x v="2"/>
  </r>
  <r>
    <s v="TX500169"/>
    <x v="10"/>
    <x v="1"/>
    <n v="61"/>
    <n v="122"/>
    <x v="6"/>
    <x v="13"/>
    <x v="2"/>
    <x v="4"/>
    <x v="1"/>
    <x v="0"/>
    <x v="18"/>
    <x v="11"/>
    <x v="1"/>
    <x v="2"/>
  </r>
  <r>
    <s v="TX500170"/>
    <x v="4"/>
    <x v="1"/>
    <n v="19.899999999999999"/>
    <n v="39.799999999999997"/>
    <x v="6"/>
    <x v="9"/>
    <x v="2"/>
    <x v="1"/>
    <x v="0"/>
    <x v="0"/>
    <x v="28"/>
    <x v="2"/>
    <x v="1"/>
    <x v="2"/>
  </r>
  <r>
    <s v="TX500171"/>
    <x v="5"/>
    <x v="0"/>
    <n v="78.3"/>
    <n v="78.3"/>
    <x v="6"/>
    <x v="4"/>
    <x v="2"/>
    <x v="0"/>
    <x v="2"/>
    <x v="0"/>
    <x v="1"/>
    <x v="7"/>
    <x v="1"/>
    <x v="2"/>
  </r>
  <r>
    <s v="TX500172"/>
    <x v="0"/>
    <x v="10"/>
    <n v="10.4"/>
    <n v="197.6"/>
    <x v="6"/>
    <x v="8"/>
    <x v="1"/>
    <x v="0"/>
    <x v="2"/>
    <x v="0"/>
    <x v="2"/>
    <x v="1"/>
    <x v="1"/>
    <x v="1"/>
  </r>
  <r>
    <s v="TX500173"/>
    <x v="10"/>
    <x v="0"/>
    <n v="36.1"/>
    <n v="36.1"/>
    <x v="6"/>
    <x v="9"/>
    <x v="1"/>
    <x v="3"/>
    <x v="2"/>
    <x v="0"/>
    <x v="3"/>
    <x v="2"/>
    <x v="1"/>
    <x v="1"/>
  </r>
  <r>
    <s v="TX500174"/>
    <x v="14"/>
    <x v="1"/>
    <n v="17.3"/>
    <n v="34.6"/>
    <x v="6"/>
    <x v="8"/>
    <x v="2"/>
    <x v="1"/>
    <x v="2"/>
    <x v="0"/>
    <x v="3"/>
    <x v="1"/>
    <x v="1"/>
    <x v="2"/>
  </r>
  <r>
    <s v="TX500175"/>
    <x v="10"/>
    <x v="1"/>
    <n v="30.5"/>
    <n v="61"/>
    <x v="6"/>
    <x v="6"/>
    <x v="2"/>
    <x v="1"/>
    <x v="2"/>
    <x v="0"/>
    <x v="3"/>
    <x v="3"/>
    <x v="1"/>
    <x v="2"/>
  </r>
  <r>
    <s v="TX500176"/>
    <x v="18"/>
    <x v="22"/>
    <n v="70.099999999999994"/>
    <n v="4346.2"/>
    <x v="6"/>
    <x v="4"/>
    <x v="2"/>
    <x v="2"/>
    <x v="0"/>
    <x v="0"/>
    <x v="3"/>
    <x v="7"/>
    <x v="1"/>
    <x v="2"/>
  </r>
  <r>
    <s v="TX500177"/>
    <x v="3"/>
    <x v="0"/>
    <n v="76.099999999999994"/>
    <n v="76.099999999999994"/>
    <x v="6"/>
    <x v="4"/>
    <x v="2"/>
    <x v="2"/>
    <x v="1"/>
    <x v="0"/>
    <x v="3"/>
    <x v="7"/>
    <x v="1"/>
    <x v="2"/>
  </r>
  <r>
    <s v="TX500178"/>
    <x v="15"/>
    <x v="15"/>
    <n v="34.200000000000003"/>
    <n v="444.6"/>
    <x v="6"/>
    <x v="6"/>
    <x v="1"/>
    <x v="0"/>
    <x v="0"/>
    <x v="0"/>
    <x v="3"/>
    <x v="3"/>
    <x v="1"/>
    <x v="1"/>
  </r>
  <r>
    <s v="TX500179"/>
    <x v="8"/>
    <x v="9"/>
    <n v="30.3"/>
    <n v="151.5"/>
    <x v="6"/>
    <x v="12"/>
    <x v="2"/>
    <x v="4"/>
    <x v="0"/>
    <x v="0"/>
    <x v="3"/>
    <x v="0"/>
    <x v="1"/>
    <x v="2"/>
  </r>
  <r>
    <s v="TX500180"/>
    <x v="6"/>
    <x v="9"/>
    <n v="52.5"/>
    <n v="262.5"/>
    <x v="6"/>
    <x v="7"/>
    <x v="0"/>
    <x v="3"/>
    <x v="0"/>
    <x v="0"/>
    <x v="3"/>
    <x v="5"/>
    <x v="1"/>
    <x v="0"/>
  </r>
  <r>
    <s v="TX500181"/>
    <x v="9"/>
    <x v="5"/>
    <n v="28.7"/>
    <n v="315.7"/>
    <x v="6"/>
    <x v="6"/>
    <x v="2"/>
    <x v="2"/>
    <x v="0"/>
    <x v="0"/>
    <x v="3"/>
    <x v="3"/>
    <x v="1"/>
    <x v="2"/>
  </r>
  <r>
    <s v="TX500182"/>
    <x v="7"/>
    <x v="3"/>
    <n v="52"/>
    <n v="364"/>
    <x v="6"/>
    <x v="6"/>
    <x v="1"/>
    <x v="1"/>
    <x v="4"/>
    <x v="0"/>
    <x v="3"/>
    <x v="3"/>
    <x v="1"/>
    <x v="1"/>
  </r>
  <r>
    <s v="TX500183"/>
    <x v="0"/>
    <x v="0"/>
    <n v="13.3"/>
    <n v="13.3"/>
    <x v="7"/>
    <x v="12"/>
    <x v="2"/>
    <x v="2"/>
    <x v="1"/>
    <x v="0"/>
    <x v="3"/>
    <x v="5"/>
    <x v="1"/>
    <x v="2"/>
  </r>
  <r>
    <s v="TX500184"/>
    <x v="0"/>
    <x v="2"/>
    <n v="15.7"/>
    <n v="47.099999999999994"/>
    <x v="7"/>
    <x v="8"/>
    <x v="2"/>
    <x v="1"/>
    <x v="0"/>
    <x v="0"/>
    <x v="29"/>
    <x v="3"/>
    <x v="1"/>
    <x v="2"/>
  </r>
  <r>
    <s v="TX500185"/>
    <x v="8"/>
    <x v="1"/>
    <n v="25.6"/>
    <n v="51.2"/>
    <x v="7"/>
    <x v="8"/>
    <x v="1"/>
    <x v="0"/>
    <x v="2"/>
    <x v="0"/>
    <x v="23"/>
    <x v="3"/>
    <x v="1"/>
    <x v="1"/>
  </r>
  <r>
    <s v="TX500186"/>
    <x v="8"/>
    <x v="0"/>
    <n v="43.4"/>
    <n v="43.4"/>
    <x v="7"/>
    <x v="14"/>
    <x v="1"/>
    <x v="0"/>
    <x v="0"/>
    <x v="0"/>
    <x v="6"/>
    <x v="0"/>
    <x v="1"/>
    <x v="1"/>
  </r>
  <r>
    <s v="TX500187"/>
    <x v="11"/>
    <x v="11"/>
    <n v="33.4"/>
    <n v="300.59999999999997"/>
    <x v="7"/>
    <x v="6"/>
    <x v="2"/>
    <x v="0"/>
    <x v="0"/>
    <x v="0"/>
    <x v="8"/>
    <x v="7"/>
    <x v="1"/>
    <x v="2"/>
  </r>
  <r>
    <s v="TX500188"/>
    <x v="8"/>
    <x v="10"/>
    <n v="55"/>
    <n v="1045"/>
    <x v="7"/>
    <x v="8"/>
    <x v="2"/>
    <x v="1"/>
    <x v="2"/>
    <x v="0"/>
    <x v="8"/>
    <x v="3"/>
    <x v="1"/>
    <x v="2"/>
  </r>
  <r>
    <s v="TX500189"/>
    <x v="8"/>
    <x v="2"/>
    <n v="23.6"/>
    <n v="70.800000000000011"/>
    <x v="7"/>
    <x v="8"/>
    <x v="1"/>
    <x v="0"/>
    <x v="2"/>
    <x v="0"/>
    <x v="8"/>
    <x v="3"/>
    <x v="1"/>
    <x v="1"/>
  </r>
  <r>
    <s v="TX500190"/>
    <x v="12"/>
    <x v="11"/>
    <n v="104"/>
    <n v="936"/>
    <x v="7"/>
    <x v="9"/>
    <x v="2"/>
    <x v="2"/>
    <x v="2"/>
    <x v="0"/>
    <x v="17"/>
    <x v="1"/>
    <x v="1"/>
    <x v="2"/>
  </r>
  <r>
    <s v="TX500191"/>
    <x v="6"/>
    <x v="1"/>
    <n v="51.8"/>
    <n v="103.6"/>
    <x v="7"/>
    <x v="12"/>
    <x v="0"/>
    <x v="0"/>
    <x v="2"/>
    <x v="0"/>
    <x v="10"/>
    <x v="5"/>
    <x v="1"/>
    <x v="0"/>
  </r>
  <r>
    <s v="TX500192"/>
    <x v="10"/>
    <x v="9"/>
    <n v="34.5"/>
    <n v="172.5"/>
    <x v="7"/>
    <x v="9"/>
    <x v="0"/>
    <x v="2"/>
    <x v="2"/>
    <x v="0"/>
    <x v="11"/>
    <x v="1"/>
    <x v="1"/>
    <x v="0"/>
  </r>
  <r>
    <s v="TX500193"/>
    <x v="6"/>
    <x v="1"/>
    <n v="51.8"/>
    <n v="103.6"/>
    <x v="7"/>
    <x v="9"/>
    <x v="1"/>
    <x v="1"/>
    <x v="2"/>
    <x v="0"/>
    <x v="30"/>
    <x v="1"/>
    <x v="1"/>
    <x v="1"/>
  </r>
  <r>
    <s v="TX500194"/>
    <x v="18"/>
    <x v="23"/>
    <n v="131.5"/>
    <n v="5654.5"/>
    <x v="7"/>
    <x v="8"/>
    <x v="2"/>
    <x v="0"/>
    <x v="2"/>
    <x v="0"/>
    <x v="18"/>
    <x v="3"/>
    <x v="1"/>
    <x v="2"/>
  </r>
  <r>
    <s v="TX500195"/>
    <x v="8"/>
    <x v="3"/>
    <n v="47.8"/>
    <n v="334.59999999999997"/>
    <x v="7"/>
    <x v="6"/>
    <x v="2"/>
    <x v="0"/>
    <x v="0"/>
    <x v="0"/>
    <x v="19"/>
    <x v="7"/>
    <x v="1"/>
    <x v="2"/>
  </r>
  <r>
    <s v="TX500196"/>
    <x v="0"/>
    <x v="1"/>
    <n v="10.199999999999999"/>
    <n v="20.399999999999999"/>
    <x v="7"/>
    <x v="9"/>
    <x v="2"/>
    <x v="0"/>
    <x v="0"/>
    <x v="0"/>
    <x v="19"/>
    <x v="1"/>
    <x v="1"/>
    <x v="2"/>
  </r>
  <r>
    <s v="TX500197"/>
    <x v="8"/>
    <x v="8"/>
    <n v="41"/>
    <n v="328"/>
    <x v="7"/>
    <x v="6"/>
    <x v="2"/>
    <x v="1"/>
    <x v="2"/>
    <x v="0"/>
    <x v="19"/>
    <x v="7"/>
    <x v="1"/>
    <x v="2"/>
  </r>
  <r>
    <s v="TX500198"/>
    <x v="10"/>
    <x v="3"/>
    <n v="50.8"/>
    <n v="355.59999999999997"/>
    <x v="7"/>
    <x v="7"/>
    <x v="2"/>
    <x v="1"/>
    <x v="0"/>
    <x v="0"/>
    <x v="21"/>
    <x v="2"/>
    <x v="1"/>
    <x v="2"/>
  </r>
  <r>
    <s v="TX500199"/>
    <x v="18"/>
    <x v="2"/>
    <n v="39.6"/>
    <n v="118.80000000000001"/>
    <x v="7"/>
    <x v="8"/>
    <x v="1"/>
    <x v="2"/>
    <x v="2"/>
    <x v="0"/>
    <x v="1"/>
    <x v="3"/>
    <x v="1"/>
    <x v="1"/>
  </r>
  <r>
    <s v="TX500200"/>
    <x v="5"/>
    <x v="1"/>
    <n v="69.5"/>
    <n v="139"/>
    <x v="7"/>
    <x v="9"/>
    <x v="1"/>
    <x v="0"/>
    <x v="2"/>
    <x v="0"/>
    <x v="2"/>
    <x v="1"/>
    <x v="1"/>
    <x v="1"/>
  </r>
  <r>
    <s v="TX500201"/>
    <x v="8"/>
    <x v="8"/>
    <n v="32.6"/>
    <n v="260.8"/>
    <x v="7"/>
    <x v="7"/>
    <x v="1"/>
    <x v="1"/>
    <x v="0"/>
    <x v="0"/>
    <x v="3"/>
    <x v="2"/>
    <x v="1"/>
    <x v="1"/>
  </r>
  <r>
    <s v="TX500202"/>
    <x v="7"/>
    <x v="1"/>
    <n v="49.1"/>
    <n v="98.2"/>
    <x v="7"/>
    <x v="15"/>
    <x v="1"/>
    <x v="3"/>
    <x v="2"/>
    <x v="0"/>
    <x v="3"/>
    <x v="9"/>
    <x v="1"/>
    <x v="1"/>
  </r>
  <r>
    <s v="TX500203"/>
    <x v="6"/>
    <x v="1"/>
    <n v="49.4"/>
    <n v="98.8"/>
    <x v="8"/>
    <x v="9"/>
    <x v="2"/>
    <x v="2"/>
    <x v="0"/>
    <x v="0"/>
    <x v="3"/>
    <x v="3"/>
    <x v="1"/>
    <x v="2"/>
  </r>
  <r>
    <s v="TX500204"/>
    <x v="7"/>
    <x v="3"/>
    <n v="65.099999999999994"/>
    <n v="455.69999999999993"/>
    <x v="8"/>
    <x v="12"/>
    <x v="2"/>
    <x v="2"/>
    <x v="2"/>
    <x v="0"/>
    <x v="3"/>
    <x v="2"/>
    <x v="1"/>
    <x v="2"/>
  </r>
  <r>
    <s v="TX500205"/>
    <x v="3"/>
    <x v="1"/>
    <n v="52.1"/>
    <n v="104.2"/>
    <x v="8"/>
    <x v="14"/>
    <x v="2"/>
    <x v="2"/>
    <x v="0"/>
    <x v="0"/>
    <x v="3"/>
    <x v="5"/>
    <x v="1"/>
    <x v="2"/>
  </r>
  <r>
    <s v="TX500206"/>
    <x v="2"/>
    <x v="12"/>
    <n v="129.19999999999999"/>
    <n v="516.79999999999995"/>
    <x v="8"/>
    <x v="9"/>
    <x v="2"/>
    <x v="1"/>
    <x v="0"/>
    <x v="0"/>
    <x v="3"/>
    <x v="3"/>
    <x v="1"/>
    <x v="2"/>
  </r>
  <r>
    <s v="TX500207"/>
    <x v="1"/>
    <x v="10"/>
    <n v="81.8"/>
    <n v="1554.2"/>
    <x v="8"/>
    <x v="8"/>
    <x v="2"/>
    <x v="1"/>
    <x v="1"/>
    <x v="0"/>
    <x v="3"/>
    <x v="7"/>
    <x v="1"/>
    <x v="2"/>
  </r>
  <r>
    <s v="TX500208"/>
    <x v="17"/>
    <x v="0"/>
    <n v="24.9"/>
    <n v="24.9"/>
    <x v="8"/>
    <x v="14"/>
    <x v="2"/>
    <x v="1"/>
    <x v="0"/>
    <x v="0"/>
    <x v="3"/>
    <x v="5"/>
    <x v="1"/>
    <x v="2"/>
  </r>
  <r>
    <s v="TX500209"/>
    <x v="0"/>
    <x v="2"/>
    <n v="49.4"/>
    <n v="148.19999999999999"/>
    <x v="8"/>
    <x v="12"/>
    <x v="2"/>
    <x v="4"/>
    <x v="4"/>
    <x v="0"/>
    <x v="3"/>
    <x v="2"/>
    <x v="1"/>
    <x v="2"/>
  </r>
  <r>
    <s v="TX500210"/>
    <x v="8"/>
    <x v="1"/>
    <n v="22.7"/>
    <n v="45.4"/>
    <x v="8"/>
    <x v="9"/>
    <x v="1"/>
    <x v="3"/>
    <x v="2"/>
    <x v="0"/>
    <x v="3"/>
    <x v="3"/>
    <x v="1"/>
    <x v="1"/>
  </r>
  <r>
    <s v="TX500211"/>
    <x v="1"/>
    <x v="0"/>
    <n v="77.3"/>
    <n v="77.3"/>
    <x v="8"/>
    <x v="8"/>
    <x v="2"/>
    <x v="0"/>
    <x v="2"/>
    <x v="0"/>
    <x v="6"/>
    <x v="7"/>
    <x v="1"/>
    <x v="2"/>
  </r>
  <r>
    <s v="TX500212"/>
    <x v="1"/>
    <x v="9"/>
    <n v="109.1"/>
    <n v="545.5"/>
    <x v="8"/>
    <x v="12"/>
    <x v="2"/>
    <x v="0"/>
    <x v="0"/>
    <x v="0"/>
    <x v="6"/>
    <x v="2"/>
    <x v="1"/>
    <x v="2"/>
  </r>
  <r>
    <s v="TX500213"/>
    <x v="2"/>
    <x v="12"/>
    <n v="53.9"/>
    <n v="215.6"/>
    <x v="8"/>
    <x v="9"/>
    <x v="1"/>
    <x v="0"/>
    <x v="1"/>
    <x v="0"/>
    <x v="8"/>
    <x v="3"/>
    <x v="1"/>
    <x v="1"/>
  </r>
  <r>
    <s v="TX500214"/>
    <x v="9"/>
    <x v="18"/>
    <n v="21.2"/>
    <n v="551.19999999999993"/>
    <x v="8"/>
    <x v="8"/>
    <x v="2"/>
    <x v="0"/>
    <x v="0"/>
    <x v="0"/>
    <x v="9"/>
    <x v="7"/>
    <x v="1"/>
    <x v="2"/>
  </r>
  <r>
    <s v="TX500215"/>
    <x v="16"/>
    <x v="12"/>
    <n v="69"/>
    <n v="276"/>
    <x v="8"/>
    <x v="7"/>
    <x v="2"/>
    <x v="1"/>
    <x v="1"/>
    <x v="0"/>
    <x v="18"/>
    <x v="1"/>
    <x v="1"/>
    <x v="2"/>
  </r>
  <r>
    <s v="TX500216"/>
    <x v="6"/>
    <x v="2"/>
    <n v="46.2"/>
    <n v="138.60000000000002"/>
    <x v="8"/>
    <x v="7"/>
    <x v="2"/>
    <x v="0"/>
    <x v="2"/>
    <x v="0"/>
    <x v="31"/>
    <x v="1"/>
    <x v="1"/>
    <x v="2"/>
  </r>
  <r>
    <s v="TX500217"/>
    <x v="1"/>
    <x v="9"/>
    <n v="97.4"/>
    <n v="487"/>
    <x v="8"/>
    <x v="14"/>
    <x v="2"/>
    <x v="4"/>
    <x v="2"/>
    <x v="0"/>
    <x v="21"/>
    <x v="5"/>
    <x v="1"/>
    <x v="2"/>
  </r>
  <r>
    <s v="TX500218"/>
    <x v="8"/>
    <x v="9"/>
    <n v="21"/>
    <n v="105"/>
    <x v="8"/>
    <x v="9"/>
    <x v="1"/>
    <x v="0"/>
    <x v="1"/>
    <x v="0"/>
    <x v="21"/>
    <x v="3"/>
    <x v="1"/>
    <x v="1"/>
  </r>
  <r>
    <s v="TX500219"/>
    <x v="5"/>
    <x v="1"/>
    <n v="32.700000000000003"/>
    <n v="65.400000000000006"/>
    <x v="9"/>
    <x v="14"/>
    <x v="2"/>
    <x v="1"/>
    <x v="0"/>
    <x v="0"/>
    <x v="2"/>
    <x v="2"/>
    <x v="1"/>
    <x v="2"/>
  </r>
  <r>
    <s v="TX500220"/>
    <x v="6"/>
    <x v="12"/>
    <n v="48"/>
    <n v="192"/>
    <x v="9"/>
    <x v="7"/>
    <x v="1"/>
    <x v="3"/>
    <x v="0"/>
    <x v="0"/>
    <x v="3"/>
    <x v="3"/>
    <x v="1"/>
    <x v="1"/>
  </r>
  <r>
    <s v="TX500221"/>
    <x v="6"/>
    <x v="2"/>
    <n v="68.2"/>
    <n v="204.60000000000002"/>
    <x v="9"/>
    <x v="16"/>
    <x v="0"/>
    <x v="0"/>
    <x v="2"/>
    <x v="0"/>
    <x v="3"/>
    <x v="5"/>
    <x v="1"/>
    <x v="0"/>
  </r>
  <r>
    <s v="TX500222"/>
    <x v="5"/>
    <x v="0"/>
    <n v="45.4"/>
    <n v="45.4"/>
    <x v="9"/>
    <x v="12"/>
    <x v="1"/>
    <x v="1"/>
    <x v="0"/>
    <x v="0"/>
    <x v="3"/>
    <x v="1"/>
    <x v="1"/>
    <x v="1"/>
  </r>
  <r>
    <s v="TX500223"/>
    <x v="12"/>
    <x v="1"/>
    <n v="53.9"/>
    <n v="107.8"/>
    <x v="9"/>
    <x v="7"/>
    <x v="2"/>
    <x v="2"/>
    <x v="0"/>
    <x v="0"/>
    <x v="3"/>
    <x v="3"/>
    <x v="1"/>
    <x v="2"/>
  </r>
  <r>
    <s v="TX500224"/>
    <x v="2"/>
    <x v="12"/>
    <n v="62.1"/>
    <n v="248.4"/>
    <x v="9"/>
    <x v="16"/>
    <x v="2"/>
    <x v="0"/>
    <x v="0"/>
    <x v="0"/>
    <x v="4"/>
    <x v="5"/>
    <x v="1"/>
    <x v="2"/>
  </r>
  <r>
    <s v="TX500225"/>
    <x v="13"/>
    <x v="3"/>
    <n v="33.1"/>
    <n v="231.70000000000002"/>
    <x v="9"/>
    <x v="11"/>
    <x v="1"/>
    <x v="1"/>
    <x v="0"/>
    <x v="0"/>
    <x v="6"/>
    <x v="0"/>
    <x v="1"/>
    <x v="1"/>
  </r>
  <r>
    <s v="TX500226"/>
    <x v="18"/>
    <x v="9"/>
    <n v="35.200000000000003"/>
    <n v="176"/>
    <x v="9"/>
    <x v="9"/>
    <x v="2"/>
    <x v="1"/>
    <x v="0"/>
    <x v="0"/>
    <x v="6"/>
    <x v="7"/>
    <x v="1"/>
    <x v="2"/>
  </r>
  <r>
    <s v="TX500227"/>
    <x v="9"/>
    <x v="2"/>
    <n v="32.1"/>
    <n v="96.300000000000011"/>
    <x v="9"/>
    <x v="11"/>
    <x v="1"/>
    <x v="3"/>
    <x v="0"/>
    <x v="0"/>
    <x v="8"/>
    <x v="0"/>
    <x v="1"/>
    <x v="1"/>
  </r>
  <r>
    <s v="TX500228"/>
    <x v="11"/>
    <x v="0"/>
    <n v="38.1"/>
    <n v="38.1"/>
    <x v="9"/>
    <x v="11"/>
    <x v="2"/>
    <x v="0"/>
    <x v="2"/>
    <x v="0"/>
    <x v="8"/>
    <x v="0"/>
    <x v="1"/>
    <x v="2"/>
  </r>
  <r>
    <s v="TX500229"/>
    <x v="8"/>
    <x v="0"/>
    <n v="65.2"/>
    <n v="65.2"/>
    <x v="9"/>
    <x v="11"/>
    <x v="2"/>
    <x v="3"/>
    <x v="1"/>
    <x v="0"/>
    <x v="8"/>
    <x v="0"/>
    <x v="1"/>
    <x v="2"/>
  </r>
  <r>
    <s v="TX500230"/>
    <x v="10"/>
    <x v="3"/>
    <n v="55.2"/>
    <n v="386.40000000000003"/>
    <x v="9"/>
    <x v="7"/>
    <x v="1"/>
    <x v="2"/>
    <x v="0"/>
    <x v="0"/>
    <x v="11"/>
    <x v="3"/>
    <x v="1"/>
    <x v="1"/>
  </r>
  <r>
    <s v="TX500231"/>
    <x v="6"/>
    <x v="0"/>
    <n v="62"/>
    <n v="62"/>
    <x v="9"/>
    <x v="16"/>
    <x v="2"/>
    <x v="0"/>
    <x v="0"/>
    <x v="0"/>
    <x v="11"/>
    <x v="5"/>
    <x v="1"/>
    <x v="2"/>
  </r>
  <r>
    <s v="TX500232"/>
    <x v="7"/>
    <x v="2"/>
    <n v="45.9"/>
    <n v="137.69999999999999"/>
    <x v="9"/>
    <x v="7"/>
    <x v="2"/>
    <x v="2"/>
    <x v="0"/>
    <x v="0"/>
    <x v="32"/>
    <x v="3"/>
    <x v="1"/>
    <x v="2"/>
  </r>
  <r>
    <s v="TX500233"/>
    <x v="18"/>
    <x v="2"/>
    <n v="58.3"/>
    <n v="174.89999999999998"/>
    <x v="9"/>
    <x v="9"/>
    <x v="1"/>
    <x v="1"/>
    <x v="1"/>
    <x v="0"/>
    <x v="18"/>
    <x v="7"/>
    <x v="1"/>
    <x v="1"/>
  </r>
  <r>
    <s v="TX500234"/>
    <x v="8"/>
    <x v="1"/>
    <n v="22.3"/>
    <n v="44.6"/>
    <x v="9"/>
    <x v="14"/>
    <x v="2"/>
    <x v="0"/>
    <x v="2"/>
    <x v="0"/>
    <x v="20"/>
    <x v="2"/>
    <x v="1"/>
    <x v="2"/>
  </r>
  <r>
    <s v="TX500235"/>
    <x v="19"/>
    <x v="9"/>
    <n v="24"/>
    <n v="120"/>
    <x v="9"/>
    <x v="7"/>
    <x v="1"/>
    <x v="4"/>
    <x v="0"/>
    <x v="0"/>
    <x v="1"/>
    <x v="3"/>
    <x v="1"/>
    <x v="1"/>
  </r>
  <r>
    <s v="TX500236"/>
    <x v="0"/>
    <x v="7"/>
    <n v="21.3"/>
    <n v="213"/>
    <x v="9"/>
    <x v="9"/>
    <x v="2"/>
    <x v="1"/>
    <x v="2"/>
    <x v="0"/>
    <x v="22"/>
    <x v="7"/>
    <x v="1"/>
    <x v="2"/>
  </r>
  <r>
    <s v="TX500237"/>
    <x v="6"/>
    <x v="24"/>
    <n v="57.8"/>
    <n v="2369.7999999999997"/>
    <x v="9"/>
    <x v="12"/>
    <x v="2"/>
    <x v="0"/>
    <x v="2"/>
    <x v="0"/>
    <x v="3"/>
    <x v="1"/>
    <x v="1"/>
    <x v="2"/>
  </r>
  <r>
    <s v="TX500238"/>
    <x v="10"/>
    <x v="2"/>
    <n v="67.599999999999994"/>
    <n v="202.79999999999998"/>
    <x v="9"/>
    <x v="7"/>
    <x v="2"/>
    <x v="0"/>
    <x v="0"/>
    <x v="0"/>
    <x v="3"/>
    <x v="3"/>
    <x v="1"/>
    <x v="2"/>
  </r>
  <r>
    <s v="TX500239"/>
    <x v="6"/>
    <x v="13"/>
    <n v="66.7"/>
    <n v="400.20000000000005"/>
    <x v="9"/>
    <x v="16"/>
    <x v="1"/>
    <x v="4"/>
    <x v="1"/>
    <x v="0"/>
    <x v="3"/>
    <x v="5"/>
    <x v="1"/>
    <x v="1"/>
  </r>
  <r>
    <s v="TX500240"/>
    <x v="1"/>
    <x v="12"/>
    <n v="53.1"/>
    <n v="212.4"/>
    <x v="9"/>
    <x v="12"/>
    <x v="2"/>
    <x v="1"/>
    <x v="0"/>
    <x v="0"/>
    <x v="3"/>
    <x v="1"/>
    <x v="1"/>
    <x v="2"/>
  </r>
  <r>
    <s v="TX500241"/>
    <x v="12"/>
    <x v="2"/>
    <n v="57.4"/>
    <n v="172.2"/>
    <x v="9"/>
    <x v="14"/>
    <x v="2"/>
    <x v="0"/>
    <x v="2"/>
    <x v="0"/>
    <x v="29"/>
    <x v="2"/>
    <x v="1"/>
    <x v="2"/>
  </r>
  <r>
    <s v="TX500242"/>
    <x v="2"/>
    <x v="9"/>
    <n v="58.1"/>
    <n v="290.5"/>
    <x v="9"/>
    <x v="9"/>
    <x v="1"/>
    <x v="2"/>
    <x v="2"/>
    <x v="0"/>
    <x v="6"/>
    <x v="7"/>
    <x v="1"/>
    <x v="1"/>
  </r>
  <r>
    <s v="TX500243"/>
    <x v="5"/>
    <x v="2"/>
    <n v="31.8"/>
    <n v="95.4"/>
    <x v="10"/>
    <x v="14"/>
    <x v="1"/>
    <x v="3"/>
    <x v="0"/>
    <x v="0"/>
    <x v="6"/>
    <x v="1"/>
    <x v="1"/>
    <x v="1"/>
  </r>
  <r>
    <s v="TX500244"/>
    <x v="4"/>
    <x v="2"/>
    <n v="31.5"/>
    <n v="94.5"/>
    <x v="10"/>
    <x v="16"/>
    <x v="1"/>
    <x v="0"/>
    <x v="1"/>
    <x v="0"/>
    <x v="8"/>
    <x v="2"/>
    <x v="1"/>
    <x v="1"/>
  </r>
  <r>
    <s v="TX500245"/>
    <x v="6"/>
    <x v="3"/>
    <n v="55.9"/>
    <n v="391.3"/>
    <x v="10"/>
    <x v="11"/>
    <x v="2"/>
    <x v="1"/>
    <x v="2"/>
    <x v="0"/>
    <x v="8"/>
    <x v="5"/>
    <x v="1"/>
    <x v="2"/>
  </r>
  <r>
    <s v="TX500246"/>
    <x v="8"/>
    <x v="1"/>
    <n v="36.4"/>
    <n v="72.8"/>
    <x v="10"/>
    <x v="12"/>
    <x v="1"/>
    <x v="1"/>
    <x v="1"/>
    <x v="0"/>
    <x v="9"/>
    <x v="3"/>
    <x v="1"/>
    <x v="1"/>
  </r>
  <r>
    <s v="TX500247"/>
    <x v="1"/>
    <x v="9"/>
    <n v="47.3"/>
    <n v="236.5"/>
    <x v="10"/>
    <x v="16"/>
    <x v="1"/>
    <x v="2"/>
    <x v="0"/>
    <x v="0"/>
    <x v="10"/>
    <x v="2"/>
    <x v="1"/>
    <x v="1"/>
  </r>
  <r>
    <s v="TX500248"/>
    <x v="6"/>
    <x v="2"/>
    <n v="82.5"/>
    <n v="247.5"/>
    <x v="10"/>
    <x v="12"/>
    <x v="1"/>
    <x v="0"/>
    <x v="0"/>
    <x v="0"/>
    <x v="11"/>
    <x v="3"/>
    <x v="1"/>
    <x v="1"/>
  </r>
  <r>
    <s v="TX500249"/>
    <x v="0"/>
    <x v="0"/>
    <n v="14.3"/>
    <n v="14.3"/>
    <x v="10"/>
    <x v="12"/>
    <x v="2"/>
    <x v="0"/>
    <x v="0"/>
    <x v="0"/>
    <x v="21"/>
    <x v="3"/>
    <x v="1"/>
    <x v="2"/>
  </r>
  <r>
    <s v="TX500250"/>
    <x v="2"/>
    <x v="13"/>
    <n v="57.6"/>
    <n v="345.6"/>
    <x v="10"/>
    <x v="17"/>
    <x v="2"/>
    <x v="0"/>
    <x v="0"/>
    <x v="0"/>
    <x v="21"/>
    <x v="12"/>
    <x v="1"/>
    <x v="2"/>
  </r>
  <r>
    <s v="TX500251"/>
    <x v="2"/>
    <x v="2"/>
    <n v="142.4"/>
    <n v="427.20000000000005"/>
    <x v="10"/>
    <x v="14"/>
    <x v="1"/>
    <x v="4"/>
    <x v="1"/>
    <x v="0"/>
    <x v="21"/>
    <x v="1"/>
    <x v="1"/>
    <x v="1"/>
  </r>
  <r>
    <s v="TX500252"/>
    <x v="12"/>
    <x v="0"/>
    <n v="30.2"/>
    <n v="30.2"/>
    <x v="10"/>
    <x v="11"/>
    <x v="1"/>
    <x v="1"/>
    <x v="2"/>
    <x v="0"/>
    <x v="2"/>
    <x v="5"/>
    <x v="1"/>
    <x v="1"/>
  </r>
  <r>
    <s v="TX500253"/>
    <x v="18"/>
    <x v="2"/>
    <n v="65.3"/>
    <n v="195.89999999999998"/>
    <x v="10"/>
    <x v="12"/>
    <x v="3"/>
    <x v="1"/>
    <x v="0"/>
    <x v="0"/>
    <x v="33"/>
    <x v="3"/>
    <x v="1"/>
    <x v="3"/>
  </r>
  <r>
    <s v="TX500254"/>
    <x v="0"/>
    <x v="1"/>
    <n v="33.4"/>
    <n v="66.8"/>
    <x v="10"/>
    <x v="12"/>
    <x v="1"/>
    <x v="1"/>
    <x v="1"/>
    <x v="0"/>
    <x v="22"/>
    <x v="3"/>
    <x v="1"/>
    <x v="1"/>
  </r>
  <r>
    <s v="TX500255"/>
    <x v="7"/>
    <x v="1"/>
    <n v="45.1"/>
    <n v="90.2"/>
    <x v="10"/>
    <x v="18"/>
    <x v="1"/>
    <x v="0"/>
    <x v="0"/>
    <x v="0"/>
    <x v="34"/>
    <x v="9"/>
    <x v="1"/>
    <x v="1"/>
  </r>
  <r>
    <s v="TX500256"/>
    <x v="2"/>
    <x v="3"/>
    <n v="61.7"/>
    <n v="431.90000000000003"/>
    <x v="10"/>
    <x v="14"/>
    <x v="2"/>
    <x v="4"/>
    <x v="0"/>
    <x v="0"/>
    <x v="3"/>
    <x v="1"/>
    <x v="1"/>
    <x v="2"/>
  </r>
  <r>
    <s v="TX500257"/>
    <x v="9"/>
    <x v="2"/>
    <n v="45.1"/>
    <n v="135.30000000000001"/>
    <x v="11"/>
    <x v="14"/>
    <x v="1"/>
    <x v="4"/>
    <x v="1"/>
    <x v="0"/>
    <x v="3"/>
    <x v="3"/>
    <x v="2"/>
    <x v="1"/>
  </r>
  <r>
    <s v="TX500258"/>
    <x v="15"/>
    <x v="9"/>
    <n v="22.7"/>
    <n v="113.5"/>
    <x v="11"/>
    <x v="10"/>
    <x v="1"/>
    <x v="0"/>
    <x v="2"/>
    <x v="0"/>
    <x v="35"/>
    <x v="0"/>
    <x v="2"/>
    <x v="1"/>
  </r>
  <r>
    <s v="TX500259"/>
    <x v="8"/>
    <x v="0"/>
    <n v="17.600000000000001"/>
    <n v="17.600000000000001"/>
    <x v="11"/>
    <x v="14"/>
    <x v="2"/>
    <x v="0"/>
    <x v="2"/>
    <x v="0"/>
    <x v="23"/>
    <x v="3"/>
    <x v="2"/>
    <x v="2"/>
  </r>
  <r>
    <s v="TX500260"/>
    <x v="14"/>
    <x v="1"/>
    <n v="11.3"/>
    <n v="22.6"/>
    <x v="11"/>
    <x v="11"/>
    <x v="2"/>
    <x v="3"/>
    <x v="2"/>
    <x v="0"/>
    <x v="23"/>
    <x v="2"/>
    <x v="2"/>
    <x v="2"/>
  </r>
  <r>
    <s v="TX500261"/>
    <x v="6"/>
    <x v="2"/>
    <n v="53.4"/>
    <n v="160.19999999999999"/>
    <x v="11"/>
    <x v="11"/>
    <x v="1"/>
    <x v="3"/>
    <x v="2"/>
    <x v="0"/>
    <x v="36"/>
    <x v="2"/>
    <x v="2"/>
    <x v="1"/>
  </r>
  <r>
    <s v="TX500262"/>
    <x v="6"/>
    <x v="5"/>
    <n v="51.1"/>
    <n v="562.1"/>
    <x v="11"/>
    <x v="16"/>
    <x v="2"/>
    <x v="2"/>
    <x v="2"/>
    <x v="0"/>
    <x v="8"/>
    <x v="1"/>
    <x v="2"/>
    <x v="2"/>
  </r>
  <r>
    <s v="TX500263"/>
    <x v="8"/>
    <x v="1"/>
    <n v="27.5"/>
    <n v="55"/>
    <x v="11"/>
    <x v="14"/>
    <x v="1"/>
    <x v="4"/>
    <x v="1"/>
    <x v="0"/>
    <x v="8"/>
    <x v="3"/>
    <x v="2"/>
    <x v="1"/>
  </r>
  <r>
    <s v="TX500264"/>
    <x v="9"/>
    <x v="0"/>
    <n v="33.5"/>
    <n v="33.5"/>
    <x v="11"/>
    <x v="16"/>
    <x v="2"/>
    <x v="0"/>
    <x v="4"/>
    <x v="0"/>
    <x v="8"/>
    <x v="1"/>
    <x v="2"/>
    <x v="2"/>
  </r>
  <r>
    <s v="TX500265"/>
    <x v="4"/>
    <x v="0"/>
    <n v="59.5"/>
    <n v="59.5"/>
    <x v="11"/>
    <x v="12"/>
    <x v="1"/>
    <x v="0"/>
    <x v="2"/>
    <x v="0"/>
    <x v="18"/>
    <x v="7"/>
    <x v="2"/>
    <x v="1"/>
  </r>
  <r>
    <s v="TX500266"/>
    <x v="17"/>
    <x v="12"/>
    <n v="23.5"/>
    <n v="94"/>
    <x v="11"/>
    <x v="14"/>
    <x v="2"/>
    <x v="3"/>
    <x v="3"/>
    <x v="0"/>
    <x v="19"/>
    <x v="3"/>
    <x v="2"/>
    <x v="2"/>
  </r>
  <r>
    <s v="TX500267"/>
    <x v="6"/>
    <x v="0"/>
    <n v="49.7"/>
    <n v="49.7"/>
    <x v="11"/>
    <x v="14"/>
    <x v="0"/>
    <x v="1"/>
    <x v="2"/>
    <x v="0"/>
    <x v="20"/>
    <x v="3"/>
    <x v="2"/>
    <x v="0"/>
  </r>
  <r>
    <s v="TX500268"/>
    <x v="6"/>
    <x v="12"/>
    <n v="44.2"/>
    <n v="176.8"/>
    <x v="11"/>
    <x v="11"/>
    <x v="2"/>
    <x v="0"/>
    <x v="2"/>
    <x v="0"/>
    <x v="21"/>
    <x v="2"/>
    <x v="2"/>
    <x v="2"/>
  </r>
  <r>
    <s v="TX500269"/>
    <x v="8"/>
    <x v="0"/>
    <n v="22.1"/>
    <n v="22.1"/>
    <x v="11"/>
    <x v="15"/>
    <x v="2"/>
    <x v="1"/>
    <x v="1"/>
    <x v="0"/>
    <x v="33"/>
    <x v="5"/>
    <x v="2"/>
    <x v="2"/>
  </r>
  <r>
    <s v="TX500270"/>
    <x v="6"/>
    <x v="2"/>
    <n v="90.9"/>
    <n v="272.70000000000005"/>
    <x v="11"/>
    <x v="14"/>
    <x v="2"/>
    <x v="2"/>
    <x v="4"/>
    <x v="0"/>
    <x v="3"/>
    <x v="3"/>
    <x v="2"/>
    <x v="2"/>
  </r>
  <r>
    <s v="TX500271"/>
    <x v="8"/>
    <x v="2"/>
    <n v="44.5"/>
    <n v="133.5"/>
    <x v="11"/>
    <x v="14"/>
    <x v="2"/>
    <x v="1"/>
    <x v="0"/>
    <x v="0"/>
    <x v="3"/>
    <x v="3"/>
    <x v="2"/>
    <x v="2"/>
  </r>
  <r>
    <s v="TX500272"/>
    <x v="9"/>
    <x v="13"/>
    <n v="32.299999999999997"/>
    <n v="193.79999999999998"/>
    <x v="11"/>
    <x v="15"/>
    <x v="2"/>
    <x v="0"/>
    <x v="0"/>
    <x v="0"/>
    <x v="3"/>
    <x v="5"/>
    <x v="2"/>
    <x v="2"/>
  </r>
  <r>
    <s v="TX500273"/>
    <x v="17"/>
    <x v="2"/>
    <n v="87.5"/>
    <n v="262.5"/>
    <x v="11"/>
    <x v="14"/>
    <x v="2"/>
    <x v="1"/>
    <x v="1"/>
    <x v="0"/>
    <x v="3"/>
    <x v="3"/>
    <x v="2"/>
    <x v="2"/>
  </r>
  <r>
    <s v="TX500274"/>
    <x v="16"/>
    <x v="9"/>
    <n v="48.7"/>
    <n v="243.5"/>
    <x v="11"/>
    <x v="14"/>
    <x v="1"/>
    <x v="2"/>
    <x v="0"/>
    <x v="0"/>
    <x v="3"/>
    <x v="3"/>
    <x v="2"/>
    <x v="1"/>
  </r>
  <r>
    <s v="TX500275"/>
    <x v="0"/>
    <x v="9"/>
    <n v="22.5"/>
    <n v="112.5"/>
    <x v="11"/>
    <x v="14"/>
    <x v="1"/>
    <x v="0"/>
    <x v="0"/>
    <x v="0"/>
    <x v="3"/>
    <x v="3"/>
    <x v="2"/>
    <x v="1"/>
  </r>
  <r>
    <s v="TX500276"/>
    <x v="1"/>
    <x v="8"/>
    <n v="65.900000000000006"/>
    <n v="527.20000000000005"/>
    <x v="11"/>
    <x v="11"/>
    <x v="2"/>
    <x v="1"/>
    <x v="2"/>
    <x v="0"/>
    <x v="3"/>
    <x v="2"/>
    <x v="2"/>
    <x v="2"/>
  </r>
  <r>
    <s v="TX500277"/>
    <x v="6"/>
    <x v="9"/>
    <n v="41.9"/>
    <n v="209.5"/>
    <x v="11"/>
    <x v="18"/>
    <x v="0"/>
    <x v="0"/>
    <x v="0"/>
    <x v="0"/>
    <x v="3"/>
    <x v="6"/>
    <x v="2"/>
    <x v="0"/>
  </r>
  <r>
    <s v="TX500278"/>
    <x v="1"/>
    <x v="9"/>
    <n v="67.5"/>
    <n v="337.5"/>
    <x v="11"/>
    <x v="14"/>
    <x v="2"/>
    <x v="0"/>
    <x v="2"/>
    <x v="0"/>
    <x v="3"/>
    <x v="3"/>
    <x v="2"/>
    <x v="2"/>
  </r>
  <r>
    <s v="TX500279"/>
    <x v="9"/>
    <x v="0"/>
    <n v="60.4"/>
    <n v="60.4"/>
    <x v="12"/>
    <x v="11"/>
    <x v="2"/>
    <x v="1"/>
    <x v="1"/>
    <x v="0"/>
    <x v="3"/>
    <x v="1"/>
    <x v="2"/>
    <x v="2"/>
  </r>
  <r>
    <s v="TX500280"/>
    <x v="1"/>
    <x v="3"/>
    <n v="30.4"/>
    <n v="212.79999999999998"/>
    <x v="12"/>
    <x v="15"/>
    <x v="2"/>
    <x v="4"/>
    <x v="0"/>
    <x v="0"/>
    <x v="3"/>
    <x v="2"/>
    <x v="2"/>
    <x v="2"/>
  </r>
  <r>
    <s v="TX500281"/>
    <x v="14"/>
    <x v="1"/>
    <n v="24.5"/>
    <n v="49"/>
    <x v="12"/>
    <x v="16"/>
    <x v="1"/>
    <x v="3"/>
    <x v="2"/>
    <x v="0"/>
    <x v="3"/>
    <x v="3"/>
    <x v="2"/>
    <x v="1"/>
  </r>
  <r>
    <s v="TX500282"/>
    <x v="2"/>
    <x v="2"/>
    <n v="105.9"/>
    <n v="317.70000000000005"/>
    <x v="12"/>
    <x v="13"/>
    <x v="1"/>
    <x v="0"/>
    <x v="0"/>
    <x v="0"/>
    <x v="37"/>
    <x v="0"/>
    <x v="2"/>
    <x v="1"/>
  </r>
  <r>
    <s v="TX500283"/>
    <x v="10"/>
    <x v="25"/>
    <n v="25.9"/>
    <n v="621.59999999999991"/>
    <x v="12"/>
    <x v="16"/>
    <x v="2"/>
    <x v="4"/>
    <x v="0"/>
    <x v="0"/>
    <x v="23"/>
    <x v="3"/>
    <x v="2"/>
    <x v="2"/>
  </r>
  <r>
    <s v="TX500284"/>
    <x v="6"/>
    <x v="2"/>
    <n v="66.8"/>
    <n v="200.39999999999998"/>
    <x v="12"/>
    <x v="14"/>
    <x v="1"/>
    <x v="0"/>
    <x v="0"/>
    <x v="0"/>
    <x v="23"/>
    <x v="7"/>
    <x v="2"/>
    <x v="1"/>
  </r>
  <r>
    <s v="TX500285"/>
    <x v="6"/>
    <x v="2"/>
    <n v="112.3"/>
    <n v="336.9"/>
    <x v="12"/>
    <x v="16"/>
    <x v="1"/>
    <x v="2"/>
    <x v="4"/>
    <x v="0"/>
    <x v="6"/>
    <x v="3"/>
    <x v="2"/>
    <x v="1"/>
  </r>
  <r>
    <s v="TX500286"/>
    <x v="1"/>
    <x v="13"/>
    <n v="94.1"/>
    <n v="564.59999999999991"/>
    <x v="12"/>
    <x v="16"/>
    <x v="2"/>
    <x v="0"/>
    <x v="4"/>
    <x v="0"/>
    <x v="6"/>
    <x v="3"/>
    <x v="2"/>
    <x v="2"/>
  </r>
  <r>
    <s v="TX500287"/>
    <x v="5"/>
    <x v="0"/>
    <n v="40.700000000000003"/>
    <n v="40.700000000000003"/>
    <x v="12"/>
    <x v="15"/>
    <x v="2"/>
    <x v="2"/>
    <x v="0"/>
    <x v="0"/>
    <x v="6"/>
    <x v="2"/>
    <x v="2"/>
    <x v="2"/>
  </r>
  <r>
    <s v="TX500288"/>
    <x v="3"/>
    <x v="1"/>
    <n v="71.400000000000006"/>
    <n v="142.80000000000001"/>
    <x v="12"/>
    <x v="16"/>
    <x v="1"/>
    <x v="0"/>
    <x v="0"/>
    <x v="0"/>
    <x v="7"/>
    <x v="3"/>
    <x v="2"/>
    <x v="1"/>
  </r>
  <r>
    <s v="TX500289"/>
    <x v="0"/>
    <x v="16"/>
    <n v="15.6"/>
    <n v="280.8"/>
    <x v="12"/>
    <x v="16"/>
    <x v="1"/>
    <x v="1"/>
    <x v="3"/>
    <x v="0"/>
    <x v="8"/>
    <x v="3"/>
    <x v="2"/>
    <x v="1"/>
  </r>
  <r>
    <s v="TX500290"/>
    <x v="10"/>
    <x v="12"/>
    <n v="37.799999999999997"/>
    <n v="151.19999999999999"/>
    <x v="12"/>
    <x v="16"/>
    <x v="1"/>
    <x v="2"/>
    <x v="2"/>
    <x v="0"/>
    <x v="8"/>
    <x v="3"/>
    <x v="2"/>
    <x v="1"/>
  </r>
  <r>
    <s v="TX500291"/>
    <x v="4"/>
    <x v="2"/>
    <n v="28.1"/>
    <n v="84.300000000000011"/>
    <x v="12"/>
    <x v="10"/>
    <x v="1"/>
    <x v="0"/>
    <x v="0"/>
    <x v="0"/>
    <x v="8"/>
    <x v="5"/>
    <x v="2"/>
    <x v="1"/>
  </r>
  <r>
    <s v="TX500292"/>
    <x v="7"/>
    <x v="13"/>
    <n v="51.4"/>
    <n v="308.39999999999998"/>
    <x v="12"/>
    <x v="10"/>
    <x v="1"/>
    <x v="0"/>
    <x v="0"/>
    <x v="0"/>
    <x v="8"/>
    <x v="5"/>
    <x v="2"/>
    <x v="1"/>
  </r>
  <r>
    <s v="TX500293"/>
    <x v="7"/>
    <x v="1"/>
    <n v="97.7"/>
    <n v="195.4"/>
    <x v="12"/>
    <x v="11"/>
    <x v="2"/>
    <x v="4"/>
    <x v="2"/>
    <x v="0"/>
    <x v="17"/>
    <x v="1"/>
    <x v="2"/>
    <x v="2"/>
  </r>
  <r>
    <s v="TX500294"/>
    <x v="1"/>
    <x v="12"/>
    <n v="63.8"/>
    <n v="255.2"/>
    <x v="12"/>
    <x v="16"/>
    <x v="1"/>
    <x v="2"/>
    <x v="0"/>
    <x v="0"/>
    <x v="38"/>
    <x v="3"/>
    <x v="2"/>
    <x v="1"/>
  </r>
  <r>
    <s v="TX500295"/>
    <x v="13"/>
    <x v="1"/>
    <n v="20.100000000000001"/>
    <n v="40.200000000000003"/>
    <x v="12"/>
    <x v="11"/>
    <x v="1"/>
    <x v="0"/>
    <x v="2"/>
    <x v="0"/>
    <x v="20"/>
    <x v="1"/>
    <x v="2"/>
    <x v="1"/>
  </r>
  <r>
    <s v="TX500296"/>
    <x v="11"/>
    <x v="2"/>
    <n v="50.4"/>
    <n v="151.19999999999999"/>
    <x v="12"/>
    <x v="15"/>
    <x v="2"/>
    <x v="3"/>
    <x v="0"/>
    <x v="0"/>
    <x v="13"/>
    <x v="2"/>
    <x v="2"/>
    <x v="2"/>
  </r>
  <r>
    <s v="TX500297"/>
    <x v="0"/>
    <x v="0"/>
    <n v="16.2"/>
    <n v="16.2"/>
    <x v="12"/>
    <x v="19"/>
    <x v="2"/>
    <x v="1"/>
    <x v="0"/>
    <x v="0"/>
    <x v="1"/>
    <x v="10"/>
    <x v="2"/>
    <x v="2"/>
  </r>
  <r>
    <s v="TX500298"/>
    <x v="6"/>
    <x v="3"/>
    <n v="80.900000000000006"/>
    <n v="566.30000000000007"/>
    <x v="12"/>
    <x v="11"/>
    <x v="1"/>
    <x v="4"/>
    <x v="4"/>
    <x v="0"/>
    <x v="2"/>
    <x v="1"/>
    <x v="2"/>
    <x v="1"/>
  </r>
  <r>
    <s v="TX500299"/>
    <x v="9"/>
    <x v="13"/>
    <n v="95.2"/>
    <n v="571.20000000000005"/>
    <x v="12"/>
    <x v="11"/>
    <x v="2"/>
    <x v="0"/>
    <x v="2"/>
    <x v="0"/>
    <x v="2"/>
    <x v="1"/>
    <x v="2"/>
    <x v="2"/>
  </r>
  <r>
    <s v="TX500300"/>
    <x v="5"/>
    <x v="8"/>
    <n v="70.400000000000006"/>
    <n v="563.20000000000005"/>
    <x v="12"/>
    <x v="16"/>
    <x v="1"/>
    <x v="1"/>
    <x v="1"/>
    <x v="0"/>
    <x v="3"/>
    <x v="3"/>
    <x v="2"/>
    <x v="1"/>
  </r>
  <r>
    <s v="TX500301"/>
    <x v="0"/>
    <x v="9"/>
    <n v="10.7"/>
    <n v="53.5"/>
    <x v="12"/>
    <x v="10"/>
    <x v="2"/>
    <x v="2"/>
    <x v="0"/>
    <x v="0"/>
    <x v="3"/>
    <x v="5"/>
    <x v="2"/>
    <x v="2"/>
  </r>
  <r>
    <s v="TX500302"/>
    <x v="8"/>
    <x v="9"/>
    <n v="19.600000000000001"/>
    <n v="98"/>
    <x v="12"/>
    <x v="11"/>
    <x v="2"/>
    <x v="0"/>
    <x v="3"/>
    <x v="0"/>
    <x v="3"/>
    <x v="1"/>
    <x v="2"/>
    <x v="2"/>
  </r>
  <r>
    <s v="TX500303"/>
    <x v="8"/>
    <x v="5"/>
    <n v="34.700000000000003"/>
    <n v="381.70000000000005"/>
    <x v="12"/>
    <x v="11"/>
    <x v="2"/>
    <x v="0"/>
    <x v="2"/>
    <x v="0"/>
    <x v="3"/>
    <x v="1"/>
    <x v="2"/>
    <x v="2"/>
  </r>
  <r>
    <s v="TX500304"/>
    <x v="10"/>
    <x v="11"/>
    <n v="34.1"/>
    <n v="306.90000000000003"/>
    <x v="12"/>
    <x v="16"/>
    <x v="2"/>
    <x v="4"/>
    <x v="1"/>
    <x v="0"/>
    <x v="3"/>
    <x v="3"/>
    <x v="2"/>
    <x v="2"/>
  </r>
  <r>
    <s v="TX500305"/>
    <x v="0"/>
    <x v="26"/>
    <n v="29.3"/>
    <n v="1435.7"/>
    <x v="12"/>
    <x v="14"/>
    <x v="1"/>
    <x v="0"/>
    <x v="1"/>
    <x v="0"/>
    <x v="3"/>
    <x v="7"/>
    <x v="2"/>
    <x v="1"/>
  </r>
  <r>
    <s v="TX500306"/>
    <x v="1"/>
    <x v="0"/>
    <n v="55.2"/>
    <n v="55.2"/>
    <x v="12"/>
    <x v="16"/>
    <x v="2"/>
    <x v="0"/>
    <x v="1"/>
    <x v="0"/>
    <x v="3"/>
    <x v="3"/>
    <x v="2"/>
    <x v="2"/>
  </r>
  <r>
    <s v="TX500307"/>
    <x v="18"/>
    <x v="2"/>
    <n v="26"/>
    <n v="78"/>
    <x v="12"/>
    <x v="15"/>
    <x v="2"/>
    <x v="0"/>
    <x v="2"/>
    <x v="0"/>
    <x v="3"/>
    <x v="2"/>
    <x v="2"/>
    <x v="2"/>
  </r>
  <r>
    <s v="TX500308"/>
    <x v="14"/>
    <x v="1"/>
    <n v="14.2"/>
    <n v="28.4"/>
    <x v="12"/>
    <x v="13"/>
    <x v="2"/>
    <x v="3"/>
    <x v="0"/>
    <x v="0"/>
    <x v="39"/>
    <x v="0"/>
    <x v="2"/>
    <x v="2"/>
  </r>
  <r>
    <s v="TX500309"/>
    <x v="8"/>
    <x v="11"/>
    <n v="22.7"/>
    <n v="204.29999999999998"/>
    <x v="13"/>
    <x v="11"/>
    <x v="1"/>
    <x v="1"/>
    <x v="0"/>
    <x v="0"/>
    <x v="6"/>
    <x v="3"/>
    <x v="2"/>
    <x v="1"/>
  </r>
  <r>
    <s v="TX500310"/>
    <x v="0"/>
    <x v="20"/>
    <n v="19.8"/>
    <n v="297"/>
    <x v="13"/>
    <x v="16"/>
    <x v="2"/>
    <x v="0"/>
    <x v="2"/>
    <x v="0"/>
    <x v="6"/>
    <x v="7"/>
    <x v="2"/>
    <x v="2"/>
  </r>
  <r>
    <s v="TX500311"/>
    <x v="0"/>
    <x v="2"/>
    <n v="31.7"/>
    <n v="95.1"/>
    <x v="13"/>
    <x v="11"/>
    <x v="1"/>
    <x v="2"/>
    <x v="0"/>
    <x v="0"/>
    <x v="6"/>
    <x v="3"/>
    <x v="2"/>
    <x v="1"/>
  </r>
  <r>
    <s v="TX500312"/>
    <x v="8"/>
    <x v="12"/>
    <n v="30.4"/>
    <n v="121.6"/>
    <x v="13"/>
    <x v="13"/>
    <x v="1"/>
    <x v="0"/>
    <x v="0"/>
    <x v="0"/>
    <x v="6"/>
    <x v="5"/>
    <x v="2"/>
    <x v="1"/>
  </r>
  <r>
    <s v="TX500313"/>
    <x v="0"/>
    <x v="12"/>
    <n v="25.6"/>
    <n v="102.4"/>
    <x v="13"/>
    <x v="11"/>
    <x v="1"/>
    <x v="3"/>
    <x v="0"/>
    <x v="0"/>
    <x v="8"/>
    <x v="3"/>
    <x v="2"/>
    <x v="1"/>
  </r>
  <r>
    <s v="TX500314"/>
    <x v="5"/>
    <x v="1"/>
    <n v="34.9"/>
    <n v="69.8"/>
    <x v="13"/>
    <x v="11"/>
    <x v="2"/>
    <x v="2"/>
    <x v="0"/>
    <x v="0"/>
    <x v="9"/>
    <x v="3"/>
    <x v="2"/>
    <x v="2"/>
  </r>
  <r>
    <s v="TX500315"/>
    <x v="7"/>
    <x v="13"/>
    <n v="42.7"/>
    <n v="256.20000000000005"/>
    <x v="13"/>
    <x v="10"/>
    <x v="1"/>
    <x v="2"/>
    <x v="1"/>
    <x v="0"/>
    <x v="11"/>
    <x v="2"/>
    <x v="2"/>
    <x v="1"/>
  </r>
  <r>
    <s v="TX500316"/>
    <x v="8"/>
    <x v="0"/>
    <n v="23.9"/>
    <n v="23.9"/>
    <x v="13"/>
    <x v="15"/>
    <x v="2"/>
    <x v="3"/>
    <x v="0"/>
    <x v="0"/>
    <x v="11"/>
    <x v="1"/>
    <x v="2"/>
    <x v="2"/>
  </r>
  <r>
    <s v="TX500317"/>
    <x v="6"/>
    <x v="0"/>
    <n v="124.3"/>
    <n v="124.3"/>
    <x v="13"/>
    <x v="11"/>
    <x v="0"/>
    <x v="2"/>
    <x v="1"/>
    <x v="0"/>
    <x v="21"/>
    <x v="3"/>
    <x v="2"/>
    <x v="0"/>
  </r>
  <r>
    <s v="TX500318"/>
    <x v="8"/>
    <x v="13"/>
    <n v="35.9"/>
    <n v="215.39999999999998"/>
    <x v="13"/>
    <x v="11"/>
    <x v="2"/>
    <x v="0"/>
    <x v="1"/>
    <x v="0"/>
    <x v="1"/>
    <x v="3"/>
    <x v="2"/>
    <x v="2"/>
  </r>
  <r>
    <s v="TX500319"/>
    <x v="2"/>
    <x v="1"/>
    <n v="69.099999999999994"/>
    <n v="138.19999999999999"/>
    <x v="13"/>
    <x v="10"/>
    <x v="2"/>
    <x v="0"/>
    <x v="2"/>
    <x v="0"/>
    <x v="22"/>
    <x v="2"/>
    <x v="2"/>
    <x v="2"/>
  </r>
  <r>
    <s v="TX500320"/>
    <x v="7"/>
    <x v="0"/>
    <n v="58.4"/>
    <n v="58.4"/>
    <x v="13"/>
    <x v="13"/>
    <x v="1"/>
    <x v="0"/>
    <x v="0"/>
    <x v="0"/>
    <x v="22"/>
    <x v="5"/>
    <x v="2"/>
    <x v="1"/>
  </r>
  <r>
    <s v="TX500321"/>
    <x v="5"/>
    <x v="0"/>
    <n v="65.2"/>
    <n v="65.2"/>
    <x v="13"/>
    <x v="15"/>
    <x v="3"/>
    <x v="4"/>
    <x v="4"/>
    <x v="0"/>
    <x v="3"/>
    <x v="1"/>
    <x v="2"/>
    <x v="3"/>
  </r>
  <r>
    <s v="TX500322"/>
    <x v="8"/>
    <x v="14"/>
    <n v="32.700000000000003"/>
    <n v="555.90000000000009"/>
    <x v="13"/>
    <x v="20"/>
    <x v="0"/>
    <x v="4"/>
    <x v="0"/>
    <x v="0"/>
    <x v="3"/>
    <x v="6"/>
    <x v="2"/>
    <x v="0"/>
  </r>
  <r>
    <s v="TX500323"/>
    <x v="10"/>
    <x v="3"/>
    <n v="24.4"/>
    <n v="170.79999999999998"/>
    <x v="13"/>
    <x v="11"/>
    <x v="2"/>
    <x v="0"/>
    <x v="0"/>
    <x v="0"/>
    <x v="3"/>
    <x v="3"/>
    <x v="2"/>
    <x v="2"/>
  </r>
  <r>
    <s v="TX500324"/>
    <x v="14"/>
    <x v="1"/>
    <n v="50.4"/>
    <n v="100.8"/>
    <x v="13"/>
    <x v="21"/>
    <x v="1"/>
    <x v="0"/>
    <x v="1"/>
    <x v="0"/>
    <x v="3"/>
    <x v="4"/>
    <x v="2"/>
    <x v="1"/>
  </r>
  <r>
    <s v="TX500325"/>
    <x v="1"/>
    <x v="1"/>
    <n v="100"/>
    <n v="200"/>
    <x v="13"/>
    <x v="11"/>
    <x v="2"/>
    <x v="0"/>
    <x v="0"/>
    <x v="0"/>
    <x v="3"/>
    <x v="3"/>
    <x v="2"/>
    <x v="2"/>
  </r>
  <r>
    <s v="TX500326"/>
    <x v="10"/>
    <x v="2"/>
    <n v="43"/>
    <n v="129"/>
    <x v="14"/>
    <x v="11"/>
    <x v="2"/>
    <x v="2"/>
    <x v="1"/>
    <x v="0"/>
    <x v="3"/>
    <x v="7"/>
    <x v="2"/>
    <x v="2"/>
  </r>
  <r>
    <s v="TX500327"/>
    <x v="1"/>
    <x v="9"/>
    <n v="64.400000000000006"/>
    <n v="322"/>
    <x v="14"/>
    <x v="10"/>
    <x v="1"/>
    <x v="2"/>
    <x v="1"/>
    <x v="0"/>
    <x v="3"/>
    <x v="1"/>
    <x v="2"/>
    <x v="1"/>
  </r>
  <r>
    <s v="TX500328"/>
    <x v="18"/>
    <x v="1"/>
    <n v="57.4"/>
    <n v="114.8"/>
    <x v="14"/>
    <x v="15"/>
    <x v="1"/>
    <x v="2"/>
    <x v="1"/>
    <x v="0"/>
    <x v="3"/>
    <x v="3"/>
    <x v="2"/>
    <x v="1"/>
  </r>
  <r>
    <s v="TX500329"/>
    <x v="2"/>
    <x v="2"/>
    <n v="55.1"/>
    <n v="165.3"/>
    <x v="14"/>
    <x v="13"/>
    <x v="2"/>
    <x v="1"/>
    <x v="0"/>
    <x v="0"/>
    <x v="3"/>
    <x v="2"/>
    <x v="2"/>
    <x v="2"/>
  </r>
  <r>
    <s v="TX500330"/>
    <x v="7"/>
    <x v="12"/>
    <n v="45.4"/>
    <n v="181.6"/>
    <x v="14"/>
    <x v="15"/>
    <x v="2"/>
    <x v="1"/>
    <x v="0"/>
    <x v="0"/>
    <x v="3"/>
    <x v="3"/>
    <x v="2"/>
    <x v="2"/>
  </r>
  <r>
    <s v="TX500331"/>
    <x v="3"/>
    <x v="2"/>
    <n v="93.3"/>
    <n v="279.89999999999998"/>
    <x v="14"/>
    <x v="15"/>
    <x v="2"/>
    <x v="0"/>
    <x v="0"/>
    <x v="0"/>
    <x v="40"/>
    <x v="3"/>
    <x v="2"/>
    <x v="2"/>
  </r>
  <r>
    <s v="TX500332"/>
    <x v="2"/>
    <x v="10"/>
    <n v="158.19999999999999"/>
    <n v="3005.7999999999997"/>
    <x v="14"/>
    <x v="15"/>
    <x v="2"/>
    <x v="1"/>
    <x v="2"/>
    <x v="0"/>
    <x v="16"/>
    <x v="3"/>
    <x v="2"/>
    <x v="2"/>
  </r>
  <r>
    <s v="TX500333"/>
    <x v="2"/>
    <x v="1"/>
    <n v="74.900000000000006"/>
    <n v="149.80000000000001"/>
    <x v="14"/>
    <x v="10"/>
    <x v="1"/>
    <x v="3"/>
    <x v="0"/>
    <x v="0"/>
    <x v="6"/>
    <x v="1"/>
    <x v="2"/>
    <x v="1"/>
  </r>
  <r>
    <s v="TX500334"/>
    <x v="8"/>
    <x v="3"/>
    <n v="26"/>
    <n v="182"/>
    <x v="14"/>
    <x v="13"/>
    <x v="2"/>
    <x v="1"/>
    <x v="0"/>
    <x v="0"/>
    <x v="8"/>
    <x v="2"/>
    <x v="2"/>
    <x v="2"/>
  </r>
  <r>
    <s v="TX500335"/>
    <x v="9"/>
    <x v="13"/>
    <n v="37.5"/>
    <n v="225"/>
    <x v="14"/>
    <x v="15"/>
    <x v="2"/>
    <x v="0"/>
    <x v="1"/>
    <x v="0"/>
    <x v="8"/>
    <x v="3"/>
    <x v="2"/>
    <x v="2"/>
  </r>
  <r>
    <s v="TX500336"/>
    <x v="6"/>
    <x v="1"/>
    <n v="75.8"/>
    <n v="151.6"/>
    <x v="14"/>
    <x v="20"/>
    <x v="1"/>
    <x v="0"/>
    <x v="0"/>
    <x v="0"/>
    <x v="8"/>
    <x v="4"/>
    <x v="2"/>
    <x v="1"/>
  </r>
  <r>
    <s v="TX500337"/>
    <x v="7"/>
    <x v="0"/>
    <n v="48.5"/>
    <n v="48.5"/>
    <x v="14"/>
    <x v="22"/>
    <x v="0"/>
    <x v="4"/>
    <x v="2"/>
    <x v="0"/>
    <x v="8"/>
    <x v="13"/>
    <x v="2"/>
    <x v="0"/>
  </r>
  <r>
    <s v="TX500338"/>
    <x v="6"/>
    <x v="2"/>
    <n v="98.9"/>
    <n v="296.70000000000005"/>
    <x v="14"/>
    <x v="10"/>
    <x v="2"/>
    <x v="4"/>
    <x v="1"/>
    <x v="0"/>
    <x v="8"/>
    <x v="1"/>
    <x v="2"/>
    <x v="2"/>
  </r>
  <r>
    <s v="TX500339"/>
    <x v="1"/>
    <x v="4"/>
    <n v="50.9"/>
    <n v="610.79999999999995"/>
    <x v="14"/>
    <x v="11"/>
    <x v="1"/>
    <x v="4"/>
    <x v="0"/>
    <x v="0"/>
    <x v="8"/>
    <x v="7"/>
    <x v="2"/>
    <x v="1"/>
  </r>
  <r>
    <s v="TX500340"/>
    <x v="12"/>
    <x v="13"/>
    <n v="84.7"/>
    <n v="508.20000000000005"/>
    <x v="14"/>
    <x v="11"/>
    <x v="2"/>
    <x v="2"/>
    <x v="0"/>
    <x v="0"/>
    <x v="8"/>
    <x v="7"/>
    <x v="2"/>
    <x v="2"/>
  </r>
  <r>
    <s v="TX500341"/>
    <x v="8"/>
    <x v="0"/>
    <n v="20.7"/>
    <n v="20.7"/>
    <x v="14"/>
    <x v="10"/>
    <x v="2"/>
    <x v="3"/>
    <x v="2"/>
    <x v="0"/>
    <x v="8"/>
    <x v="1"/>
    <x v="2"/>
    <x v="2"/>
  </r>
  <r>
    <s v="TX500342"/>
    <x v="12"/>
    <x v="11"/>
    <n v="57.8"/>
    <n v="520.19999999999993"/>
    <x v="14"/>
    <x v="19"/>
    <x v="1"/>
    <x v="0"/>
    <x v="4"/>
    <x v="0"/>
    <x v="17"/>
    <x v="11"/>
    <x v="2"/>
    <x v="1"/>
  </r>
  <r>
    <s v="TX500343"/>
    <x v="2"/>
    <x v="1"/>
    <n v="106.9"/>
    <n v="213.8"/>
    <x v="14"/>
    <x v="10"/>
    <x v="2"/>
    <x v="0"/>
    <x v="2"/>
    <x v="0"/>
    <x v="41"/>
    <x v="1"/>
    <x v="2"/>
    <x v="2"/>
  </r>
  <r>
    <s v="TX500344"/>
    <x v="3"/>
    <x v="9"/>
    <n v="45.2"/>
    <n v="226"/>
    <x v="14"/>
    <x v="18"/>
    <x v="2"/>
    <x v="1"/>
    <x v="0"/>
    <x v="0"/>
    <x v="21"/>
    <x v="5"/>
    <x v="2"/>
    <x v="2"/>
  </r>
  <r>
    <s v="TX500345"/>
    <x v="8"/>
    <x v="15"/>
    <n v="34.6"/>
    <n v="449.8"/>
    <x v="14"/>
    <x v="11"/>
    <x v="2"/>
    <x v="1"/>
    <x v="1"/>
    <x v="0"/>
    <x v="21"/>
    <x v="7"/>
    <x v="2"/>
    <x v="2"/>
  </r>
  <r>
    <s v="TX500346"/>
    <x v="15"/>
    <x v="0"/>
    <n v="43.8"/>
    <n v="43.8"/>
    <x v="14"/>
    <x v="10"/>
    <x v="0"/>
    <x v="0"/>
    <x v="2"/>
    <x v="0"/>
    <x v="21"/>
    <x v="1"/>
    <x v="2"/>
    <x v="0"/>
  </r>
  <r>
    <s v="TX500347"/>
    <x v="15"/>
    <x v="0"/>
    <n v="20.399999999999999"/>
    <n v="20.399999999999999"/>
    <x v="14"/>
    <x v="10"/>
    <x v="1"/>
    <x v="4"/>
    <x v="1"/>
    <x v="0"/>
    <x v="21"/>
    <x v="1"/>
    <x v="2"/>
    <x v="1"/>
  </r>
  <r>
    <s v="TX500348"/>
    <x v="1"/>
    <x v="0"/>
    <n v="36.700000000000003"/>
    <n v="36.700000000000003"/>
    <x v="14"/>
    <x v="15"/>
    <x v="1"/>
    <x v="0"/>
    <x v="1"/>
    <x v="0"/>
    <x v="1"/>
    <x v="3"/>
    <x v="2"/>
    <x v="1"/>
  </r>
  <r>
    <s v="TX500349"/>
    <x v="8"/>
    <x v="2"/>
    <n v="27.2"/>
    <n v="81.599999999999994"/>
    <x v="14"/>
    <x v="18"/>
    <x v="1"/>
    <x v="0"/>
    <x v="2"/>
    <x v="0"/>
    <x v="1"/>
    <x v="5"/>
    <x v="2"/>
    <x v="1"/>
  </r>
  <r>
    <s v="TX500350"/>
    <x v="6"/>
    <x v="0"/>
    <n v="58.2"/>
    <n v="58.2"/>
    <x v="14"/>
    <x v="15"/>
    <x v="2"/>
    <x v="0"/>
    <x v="2"/>
    <x v="0"/>
    <x v="42"/>
    <x v="3"/>
    <x v="2"/>
    <x v="2"/>
  </r>
  <r>
    <s v="TX500351"/>
    <x v="8"/>
    <x v="2"/>
    <n v="25.6"/>
    <n v="76.800000000000011"/>
    <x v="14"/>
    <x v="15"/>
    <x v="1"/>
    <x v="4"/>
    <x v="4"/>
    <x v="0"/>
    <x v="2"/>
    <x v="3"/>
    <x v="2"/>
    <x v="1"/>
  </r>
  <r>
    <s v="TX500352"/>
    <x v="10"/>
    <x v="0"/>
    <n v="21.2"/>
    <n v="21.2"/>
    <x v="14"/>
    <x v="11"/>
    <x v="2"/>
    <x v="1"/>
    <x v="2"/>
    <x v="0"/>
    <x v="3"/>
    <x v="7"/>
    <x v="2"/>
    <x v="2"/>
  </r>
  <r>
    <s v="TX500353"/>
    <x v="6"/>
    <x v="1"/>
    <n v="48.2"/>
    <n v="96.4"/>
    <x v="14"/>
    <x v="23"/>
    <x v="2"/>
    <x v="0"/>
    <x v="2"/>
    <x v="0"/>
    <x v="3"/>
    <x v="9"/>
    <x v="2"/>
    <x v="2"/>
  </r>
  <r>
    <s v="TX500354"/>
    <x v="1"/>
    <x v="12"/>
    <n v="83.4"/>
    <n v="333.6"/>
    <x v="15"/>
    <x v="10"/>
    <x v="1"/>
    <x v="0"/>
    <x v="0"/>
    <x v="0"/>
    <x v="3"/>
    <x v="3"/>
    <x v="2"/>
    <x v="1"/>
  </r>
  <r>
    <s v="TX500355"/>
    <x v="9"/>
    <x v="2"/>
    <n v="45.3"/>
    <n v="135.89999999999998"/>
    <x v="15"/>
    <x v="24"/>
    <x v="1"/>
    <x v="2"/>
    <x v="1"/>
    <x v="0"/>
    <x v="3"/>
    <x v="4"/>
    <x v="2"/>
    <x v="1"/>
  </r>
  <r>
    <s v="TX500356"/>
    <x v="17"/>
    <x v="0"/>
    <n v="42"/>
    <n v="42"/>
    <x v="15"/>
    <x v="10"/>
    <x v="0"/>
    <x v="0"/>
    <x v="0"/>
    <x v="0"/>
    <x v="3"/>
    <x v="3"/>
    <x v="2"/>
    <x v="0"/>
  </r>
  <r>
    <s v="TX500357"/>
    <x v="0"/>
    <x v="11"/>
    <n v="21.8"/>
    <n v="196.20000000000002"/>
    <x v="15"/>
    <x v="13"/>
    <x v="2"/>
    <x v="1"/>
    <x v="0"/>
    <x v="0"/>
    <x v="3"/>
    <x v="1"/>
    <x v="2"/>
    <x v="2"/>
  </r>
  <r>
    <s v="TX500358"/>
    <x v="8"/>
    <x v="16"/>
    <n v="21.4"/>
    <n v="385.2"/>
    <x v="15"/>
    <x v="18"/>
    <x v="2"/>
    <x v="1"/>
    <x v="2"/>
    <x v="0"/>
    <x v="3"/>
    <x v="2"/>
    <x v="2"/>
    <x v="2"/>
  </r>
  <r>
    <s v="TX500359"/>
    <x v="10"/>
    <x v="2"/>
    <n v="45"/>
    <n v="135"/>
    <x v="15"/>
    <x v="15"/>
    <x v="2"/>
    <x v="1"/>
    <x v="2"/>
    <x v="0"/>
    <x v="3"/>
    <x v="7"/>
    <x v="2"/>
    <x v="2"/>
  </r>
  <r>
    <s v="TX500360"/>
    <x v="14"/>
    <x v="0"/>
    <n v="39.6"/>
    <n v="39.6"/>
    <x v="15"/>
    <x v="10"/>
    <x v="1"/>
    <x v="0"/>
    <x v="2"/>
    <x v="0"/>
    <x v="3"/>
    <x v="3"/>
    <x v="2"/>
    <x v="1"/>
  </r>
  <r>
    <s v="TX500361"/>
    <x v="12"/>
    <x v="2"/>
    <n v="79.8"/>
    <n v="239.39999999999998"/>
    <x v="15"/>
    <x v="24"/>
    <x v="2"/>
    <x v="1"/>
    <x v="4"/>
    <x v="0"/>
    <x v="3"/>
    <x v="4"/>
    <x v="2"/>
    <x v="2"/>
  </r>
  <r>
    <s v="TX500362"/>
    <x v="1"/>
    <x v="12"/>
    <n v="63.6"/>
    <n v="254.4"/>
    <x v="15"/>
    <x v="10"/>
    <x v="3"/>
    <x v="0"/>
    <x v="2"/>
    <x v="0"/>
    <x v="24"/>
    <x v="3"/>
    <x v="2"/>
    <x v="3"/>
  </r>
  <r>
    <s v="TX500363"/>
    <x v="7"/>
    <x v="7"/>
    <n v="92.7"/>
    <n v="927"/>
    <x v="15"/>
    <x v="21"/>
    <x v="1"/>
    <x v="1"/>
    <x v="2"/>
    <x v="0"/>
    <x v="6"/>
    <x v="5"/>
    <x v="2"/>
    <x v="1"/>
  </r>
  <r>
    <s v="TX500364"/>
    <x v="1"/>
    <x v="12"/>
    <n v="48.4"/>
    <n v="193.6"/>
    <x v="15"/>
    <x v="13"/>
    <x v="2"/>
    <x v="1"/>
    <x v="2"/>
    <x v="0"/>
    <x v="6"/>
    <x v="1"/>
    <x v="2"/>
    <x v="2"/>
  </r>
  <r>
    <s v="TX500365"/>
    <x v="9"/>
    <x v="8"/>
    <n v="36"/>
    <n v="288"/>
    <x v="15"/>
    <x v="18"/>
    <x v="1"/>
    <x v="2"/>
    <x v="2"/>
    <x v="0"/>
    <x v="8"/>
    <x v="2"/>
    <x v="2"/>
    <x v="1"/>
  </r>
  <r>
    <s v="TX500366"/>
    <x v="8"/>
    <x v="4"/>
    <n v="27"/>
    <n v="324"/>
    <x v="15"/>
    <x v="13"/>
    <x v="2"/>
    <x v="2"/>
    <x v="1"/>
    <x v="0"/>
    <x v="8"/>
    <x v="1"/>
    <x v="2"/>
    <x v="2"/>
  </r>
  <r>
    <s v="TX500367"/>
    <x v="2"/>
    <x v="8"/>
    <n v="53.9"/>
    <n v="431.2"/>
    <x v="15"/>
    <x v="10"/>
    <x v="0"/>
    <x v="0"/>
    <x v="0"/>
    <x v="0"/>
    <x v="8"/>
    <x v="3"/>
    <x v="2"/>
    <x v="0"/>
  </r>
  <r>
    <s v="TX500368"/>
    <x v="3"/>
    <x v="11"/>
    <n v="48.4"/>
    <n v="435.59999999999997"/>
    <x v="15"/>
    <x v="10"/>
    <x v="2"/>
    <x v="1"/>
    <x v="0"/>
    <x v="0"/>
    <x v="9"/>
    <x v="3"/>
    <x v="2"/>
    <x v="2"/>
  </r>
  <r>
    <s v="TX500369"/>
    <x v="17"/>
    <x v="1"/>
    <n v="49.9"/>
    <n v="99.8"/>
    <x v="15"/>
    <x v="20"/>
    <x v="1"/>
    <x v="4"/>
    <x v="4"/>
    <x v="0"/>
    <x v="10"/>
    <x v="0"/>
    <x v="2"/>
    <x v="1"/>
  </r>
  <r>
    <s v="TX500370"/>
    <x v="1"/>
    <x v="2"/>
    <n v="51.7"/>
    <n v="155.10000000000002"/>
    <x v="15"/>
    <x v="10"/>
    <x v="2"/>
    <x v="0"/>
    <x v="2"/>
    <x v="0"/>
    <x v="11"/>
    <x v="3"/>
    <x v="2"/>
    <x v="2"/>
  </r>
  <r>
    <s v="TX500371"/>
    <x v="8"/>
    <x v="2"/>
    <n v="41.8"/>
    <n v="125.39999999999999"/>
    <x v="15"/>
    <x v="13"/>
    <x v="2"/>
    <x v="2"/>
    <x v="0"/>
    <x v="0"/>
    <x v="18"/>
    <x v="1"/>
    <x v="2"/>
    <x v="2"/>
  </r>
  <r>
    <s v="TX500372"/>
    <x v="4"/>
    <x v="12"/>
    <n v="36.200000000000003"/>
    <n v="144.80000000000001"/>
    <x v="16"/>
    <x v="13"/>
    <x v="1"/>
    <x v="2"/>
    <x v="2"/>
    <x v="0"/>
    <x v="21"/>
    <x v="3"/>
    <x v="2"/>
    <x v="1"/>
  </r>
  <r>
    <s v="TX500373"/>
    <x v="2"/>
    <x v="0"/>
    <n v="150.9"/>
    <n v="150.9"/>
    <x v="16"/>
    <x v="22"/>
    <x v="1"/>
    <x v="0"/>
    <x v="0"/>
    <x v="0"/>
    <x v="1"/>
    <x v="14"/>
    <x v="2"/>
    <x v="1"/>
  </r>
  <r>
    <s v="TX500374"/>
    <x v="18"/>
    <x v="12"/>
    <n v="77.599999999999994"/>
    <n v="310.39999999999998"/>
    <x v="16"/>
    <x v="13"/>
    <x v="0"/>
    <x v="2"/>
    <x v="0"/>
    <x v="0"/>
    <x v="3"/>
    <x v="3"/>
    <x v="2"/>
    <x v="0"/>
  </r>
  <r>
    <s v="TX500375"/>
    <x v="13"/>
    <x v="9"/>
    <n v="65.5"/>
    <n v="327.5"/>
    <x v="16"/>
    <x v="10"/>
    <x v="1"/>
    <x v="1"/>
    <x v="0"/>
    <x v="0"/>
    <x v="3"/>
    <x v="7"/>
    <x v="2"/>
    <x v="1"/>
  </r>
  <r>
    <s v="TX500376"/>
    <x v="6"/>
    <x v="2"/>
    <n v="90.1"/>
    <n v="270.29999999999995"/>
    <x v="16"/>
    <x v="18"/>
    <x v="2"/>
    <x v="0"/>
    <x v="0"/>
    <x v="0"/>
    <x v="3"/>
    <x v="1"/>
    <x v="2"/>
    <x v="2"/>
  </r>
  <r>
    <s v="TX500377"/>
    <x v="1"/>
    <x v="1"/>
    <n v="108.3"/>
    <n v="216.6"/>
    <x v="16"/>
    <x v="21"/>
    <x v="3"/>
    <x v="4"/>
    <x v="0"/>
    <x v="0"/>
    <x v="3"/>
    <x v="2"/>
    <x v="2"/>
    <x v="3"/>
  </r>
  <r>
    <s v="TX500378"/>
    <x v="5"/>
    <x v="2"/>
    <n v="59.9"/>
    <n v="179.7"/>
    <x v="16"/>
    <x v="20"/>
    <x v="2"/>
    <x v="0"/>
    <x v="0"/>
    <x v="0"/>
    <x v="3"/>
    <x v="5"/>
    <x v="2"/>
    <x v="2"/>
  </r>
  <r>
    <s v="TX500379"/>
    <x v="2"/>
    <x v="14"/>
    <n v="139"/>
    <n v="2363"/>
    <x v="16"/>
    <x v="18"/>
    <x v="2"/>
    <x v="1"/>
    <x v="4"/>
    <x v="0"/>
    <x v="3"/>
    <x v="1"/>
    <x v="2"/>
    <x v="2"/>
  </r>
  <r>
    <s v="TX500380"/>
    <x v="6"/>
    <x v="2"/>
    <n v="87.3"/>
    <n v="261.89999999999998"/>
    <x v="16"/>
    <x v="13"/>
    <x v="2"/>
    <x v="0"/>
    <x v="0"/>
    <x v="0"/>
    <x v="3"/>
    <x v="3"/>
    <x v="2"/>
    <x v="2"/>
  </r>
  <r>
    <s v="TX500381"/>
    <x v="11"/>
    <x v="12"/>
    <n v="42.3"/>
    <n v="169.2"/>
    <x v="16"/>
    <x v="10"/>
    <x v="1"/>
    <x v="0"/>
    <x v="0"/>
    <x v="0"/>
    <x v="3"/>
    <x v="7"/>
    <x v="2"/>
    <x v="1"/>
  </r>
  <r>
    <s v="TX500382"/>
    <x v="14"/>
    <x v="8"/>
    <n v="103.6"/>
    <n v="828.8"/>
    <x v="16"/>
    <x v="13"/>
    <x v="3"/>
    <x v="0"/>
    <x v="1"/>
    <x v="0"/>
    <x v="3"/>
    <x v="3"/>
    <x v="2"/>
    <x v="3"/>
  </r>
  <r>
    <s v="TX500383"/>
    <x v="6"/>
    <x v="1"/>
    <n v="90.9"/>
    <n v="181.8"/>
    <x v="16"/>
    <x v="13"/>
    <x v="1"/>
    <x v="1"/>
    <x v="0"/>
    <x v="0"/>
    <x v="6"/>
    <x v="3"/>
    <x v="2"/>
    <x v="1"/>
  </r>
  <r>
    <s v="TX500384"/>
    <x v="9"/>
    <x v="27"/>
    <n v="100.9"/>
    <n v="1614.4"/>
    <x v="16"/>
    <x v="13"/>
    <x v="2"/>
    <x v="1"/>
    <x v="0"/>
    <x v="0"/>
    <x v="6"/>
    <x v="3"/>
    <x v="2"/>
    <x v="2"/>
  </r>
  <r>
    <s v="TX500385"/>
    <x v="4"/>
    <x v="9"/>
    <n v="36"/>
    <n v="180"/>
    <x v="16"/>
    <x v="18"/>
    <x v="2"/>
    <x v="1"/>
    <x v="0"/>
    <x v="0"/>
    <x v="7"/>
    <x v="1"/>
    <x v="2"/>
    <x v="2"/>
  </r>
  <r>
    <s v="TX500386"/>
    <x v="6"/>
    <x v="13"/>
    <n v="83.3"/>
    <n v="499.79999999999995"/>
    <x v="16"/>
    <x v="21"/>
    <x v="0"/>
    <x v="2"/>
    <x v="0"/>
    <x v="0"/>
    <x v="7"/>
    <x v="2"/>
    <x v="2"/>
    <x v="0"/>
  </r>
  <r>
    <s v="TX500387"/>
    <x v="2"/>
    <x v="14"/>
    <n v="60.3"/>
    <n v="1025.0999999999999"/>
    <x v="16"/>
    <x v="13"/>
    <x v="1"/>
    <x v="2"/>
    <x v="1"/>
    <x v="0"/>
    <x v="7"/>
    <x v="3"/>
    <x v="2"/>
    <x v="1"/>
  </r>
  <r>
    <s v="TX500388"/>
    <x v="2"/>
    <x v="13"/>
    <n v="120.3"/>
    <n v="721.8"/>
    <x v="16"/>
    <x v="13"/>
    <x v="1"/>
    <x v="2"/>
    <x v="0"/>
    <x v="0"/>
    <x v="8"/>
    <x v="3"/>
    <x v="2"/>
    <x v="1"/>
  </r>
  <r>
    <s v="TX500389"/>
    <x v="4"/>
    <x v="7"/>
    <n v="34"/>
    <n v="340"/>
    <x v="16"/>
    <x v="20"/>
    <x v="2"/>
    <x v="2"/>
    <x v="0"/>
    <x v="0"/>
    <x v="8"/>
    <x v="5"/>
    <x v="2"/>
    <x v="2"/>
  </r>
  <r>
    <s v="TX500390"/>
    <x v="10"/>
    <x v="9"/>
    <n v="42.6"/>
    <n v="213"/>
    <x v="16"/>
    <x v="21"/>
    <x v="1"/>
    <x v="1"/>
    <x v="0"/>
    <x v="0"/>
    <x v="8"/>
    <x v="2"/>
    <x v="2"/>
    <x v="1"/>
  </r>
  <r>
    <s v="TX500391"/>
    <x v="5"/>
    <x v="28"/>
    <n v="47.4"/>
    <n v="948"/>
    <x v="16"/>
    <x v="10"/>
    <x v="2"/>
    <x v="2"/>
    <x v="1"/>
    <x v="0"/>
    <x v="17"/>
    <x v="7"/>
    <x v="2"/>
    <x v="2"/>
  </r>
  <r>
    <s v="TX500392"/>
    <x v="2"/>
    <x v="0"/>
    <n v="74"/>
    <n v="74"/>
    <x v="17"/>
    <x v="18"/>
    <x v="1"/>
    <x v="1"/>
    <x v="0"/>
    <x v="0"/>
    <x v="11"/>
    <x v="3"/>
    <x v="2"/>
    <x v="1"/>
  </r>
  <r>
    <s v="TX500393"/>
    <x v="2"/>
    <x v="9"/>
    <n v="60.4"/>
    <n v="302"/>
    <x v="17"/>
    <x v="20"/>
    <x v="2"/>
    <x v="1"/>
    <x v="4"/>
    <x v="0"/>
    <x v="18"/>
    <x v="2"/>
    <x v="2"/>
    <x v="2"/>
  </r>
  <r>
    <s v="TX500394"/>
    <x v="12"/>
    <x v="1"/>
    <n v="69.3"/>
    <n v="138.6"/>
    <x v="17"/>
    <x v="20"/>
    <x v="1"/>
    <x v="1"/>
    <x v="1"/>
    <x v="0"/>
    <x v="13"/>
    <x v="2"/>
    <x v="2"/>
    <x v="1"/>
  </r>
  <r>
    <s v="TX500395"/>
    <x v="5"/>
    <x v="9"/>
    <n v="81"/>
    <n v="405"/>
    <x v="17"/>
    <x v="25"/>
    <x v="1"/>
    <x v="3"/>
    <x v="0"/>
    <x v="0"/>
    <x v="21"/>
    <x v="4"/>
    <x v="2"/>
    <x v="1"/>
  </r>
  <r>
    <s v="TX500396"/>
    <x v="15"/>
    <x v="2"/>
    <n v="41.5"/>
    <n v="124.5"/>
    <x v="17"/>
    <x v="21"/>
    <x v="3"/>
    <x v="1"/>
    <x v="0"/>
    <x v="0"/>
    <x v="21"/>
    <x v="1"/>
    <x v="2"/>
    <x v="3"/>
  </r>
  <r>
    <s v="TX500397"/>
    <x v="18"/>
    <x v="1"/>
    <n v="69.7"/>
    <n v="139.4"/>
    <x v="17"/>
    <x v="23"/>
    <x v="1"/>
    <x v="1"/>
    <x v="0"/>
    <x v="0"/>
    <x v="21"/>
    <x v="0"/>
    <x v="2"/>
    <x v="1"/>
  </r>
  <r>
    <s v="TX500398"/>
    <x v="2"/>
    <x v="9"/>
    <n v="83.6"/>
    <n v="418"/>
    <x v="17"/>
    <x v="13"/>
    <x v="2"/>
    <x v="4"/>
    <x v="0"/>
    <x v="0"/>
    <x v="1"/>
    <x v="7"/>
    <x v="2"/>
    <x v="2"/>
  </r>
  <r>
    <s v="TX500399"/>
    <x v="8"/>
    <x v="3"/>
    <n v="21.5"/>
    <n v="150.5"/>
    <x v="17"/>
    <x v="21"/>
    <x v="1"/>
    <x v="1"/>
    <x v="4"/>
    <x v="0"/>
    <x v="34"/>
    <x v="1"/>
    <x v="2"/>
    <x v="1"/>
  </r>
  <r>
    <s v="TX500400"/>
    <x v="8"/>
    <x v="8"/>
    <n v="28.6"/>
    <n v="228.8"/>
    <x v="17"/>
    <x v="18"/>
    <x v="1"/>
    <x v="0"/>
    <x v="0"/>
    <x v="0"/>
    <x v="3"/>
    <x v="3"/>
    <x v="2"/>
    <x v="1"/>
  </r>
  <r>
    <s v="TX500401"/>
    <x v="8"/>
    <x v="13"/>
    <n v="18.8"/>
    <n v="112.80000000000001"/>
    <x v="17"/>
    <x v="20"/>
    <x v="1"/>
    <x v="3"/>
    <x v="2"/>
    <x v="0"/>
    <x v="3"/>
    <x v="2"/>
    <x v="2"/>
    <x v="1"/>
  </r>
  <r>
    <s v="TX500402"/>
    <x v="10"/>
    <x v="12"/>
    <n v="35.1"/>
    <n v="140.4"/>
    <x v="17"/>
    <x v="13"/>
    <x v="2"/>
    <x v="1"/>
    <x v="1"/>
    <x v="0"/>
    <x v="3"/>
    <x v="7"/>
    <x v="2"/>
    <x v="2"/>
  </r>
  <r>
    <s v="TX500403"/>
    <x v="0"/>
    <x v="1"/>
    <n v="12.7"/>
    <n v="25.4"/>
    <x v="17"/>
    <x v="21"/>
    <x v="2"/>
    <x v="1"/>
    <x v="2"/>
    <x v="0"/>
    <x v="3"/>
    <x v="1"/>
    <x v="2"/>
    <x v="2"/>
  </r>
  <r>
    <s v="TX500404"/>
    <x v="8"/>
    <x v="9"/>
    <n v="27.4"/>
    <n v="137"/>
    <x v="17"/>
    <x v="21"/>
    <x v="3"/>
    <x v="0"/>
    <x v="0"/>
    <x v="0"/>
    <x v="3"/>
    <x v="1"/>
    <x v="2"/>
    <x v="3"/>
  </r>
  <r>
    <s v="TX500405"/>
    <x v="10"/>
    <x v="1"/>
    <n v="61.3"/>
    <n v="122.6"/>
    <x v="17"/>
    <x v="18"/>
    <x v="2"/>
    <x v="1"/>
    <x v="0"/>
    <x v="0"/>
    <x v="6"/>
    <x v="3"/>
    <x v="2"/>
    <x v="2"/>
  </r>
  <r>
    <s v="TX500406"/>
    <x v="8"/>
    <x v="1"/>
    <n v="64.7"/>
    <n v="129.4"/>
    <x v="17"/>
    <x v="21"/>
    <x v="2"/>
    <x v="3"/>
    <x v="2"/>
    <x v="0"/>
    <x v="6"/>
    <x v="1"/>
    <x v="2"/>
    <x v="2"/>
  </r>
  <r>
    <s v="TX500407"/>
    <x v="7"/>
    <x v="12"/>
    <n v="91.4"/>
    <n v="365.6"/>
    <x v="17"/>
    <x v="21"/>
    <x v="2"/>
    <x v="0"/>
    <x v="0"/>
    <x v="0"/>
    <x v="8"/>
    <x v="1"/>
    <x v="2"/>
    <x v="2"/>
  </r>
  <r>
    <s v="TX500408"/>
    <x v="0"/>
    <x v="1"/>
    <n v="33.1"/>
    <n v="66.2"/>
    <x v="18"/>
    <x v="21"/>
    <x v="1"/>
    <x v="0"/>
    <x v="2"/>
    <x v="0"/>
    <x v="8"/>
    <x v="3"/>
    <x v="3"/>
    <x v="1"/>
  </r>
  <r>
    <s v="TX500409"/>
    <x v="3"/>
    <x v="1"/>
    <n v="105.6"/>
    <n v="211.2"/>
    <x v="18"/>
    <x v="21"/>
    <x v="1"/>
    <x v="2"/>
    <x v="1"/>
    <x v="0"/>
    <x v="8"/>
    <x v="3"/>
    <x v="3"/>
    <x v="1"/>
  </r>
  <r>
    <s v="TX500410"/>
    <x v="10"/>
    <x v="2"/>
    <n v="46.4"/>
    <n v="139.19999999999999"/>
    <x v="18"/>
    <x v="21"/>
    <x v="1"/>
    <x v="2"/>
    <x v="0"/>
    <x v="0"/>
    <x v="9"/>
    <x v="3"/>
    <x v="3"/>
    <x v="1"/>
  </r>
  <r>
    <s v="TX500411"/>
    <x v="9"/>
    <x v="21"/>
    <n v="35.299999999999997"/>
    <n v="494.19999999999993"/>
    <x v="18"/>
    <x v="24"/>
    <x v="2"/>
    <x v="4"/>
    <x v="1"/>
    <x v="0"/>
    <x v="11"/>
    <x v="2"/>
    <x v="3"/>
    <x v="2"/>
  </r>
  <r>
    <s v="TX500412"/>
    <x v="0"/>
    <x v="1"/>
    <n v="16.100000000000001"/>
    <n v="32.200000000000003"/>
    <x v="18"/>
    <x v="20"/>
    <x v="1"/>
    <x v="3"/>
    <x v="2"/>
    <x v="0"/>
    <x v="32"/>
    <x v="1"/>
    <x v="3"/>
    <x v="1"/>
  </r>
  <r>
    <s v="TX500413"/>
    <x v="4"/>
    <x v="1"/>
    <n v="27.9"/>
    <n v="55.8"/>
    <x v="18"/>
    <x v="24"/>
    <x v="1"/>
    <x v="0"/>
    <x v="0"/>
    <x v="0"/>
    <x v="13"/>
    <x v="2"/>
    <x v="3"/>
    <x v="1"/>
  </r>
  <r>
    <s v="TX500414"/>
    <x v="8"/>
    <x v="0"/>
    <n v="47.1"/>
    <n v="47.1"/>
    <x v="18"/>
    <x v="22"/>
    <x v="2"/>
    <x v="1"/>
    <x v="0"/>
    <x v="0"/>
    <x v="2"/>
    <x v="9"/>
    <x v="3"/>
    <x v="2"/>
  </r>
  <r>
    <s v="TX500415"/>
    <x v="6"/>
    <x v="1"/>
    <n v="85"/>
    <n v="170"/>
    <x v="18"/>
    <x v="24"/>
    <x v="0"/>
    <x v="2"/>
    <x v="2"/>
    <x v="0"/>
    <x v="22"/>
    <x v="2"/>
    <x v="3"/>
    <x v="0"/>
  </r>
  <r>
    <s v="TX500416"/>
    <x v="18"/>
    <x v="1"/>
    <n v="89"/>
    <n v="178"/>
    <x v="18"/>
    <x v="20"/>
    <x v="2"/>
    <x v="0"/>
    <x v="0"/>
    <x v="0"/>
    <x v="3"/>
    <x v="1"/>
    <x v="3"/>
    <x v="2"/>
  </r>
  <r>
    <s v="TX500417"/>
    <x v="16"/>
    <x v="2"/>
    <n v="36.6"/>
    <n v="109.80000000000001"/>
    <x v="18"/>
    <x v="21"/>
    <x v="3"/>
    <x v="3"/>
    <x v="2"/>
    <x v="0"/>
    <x v="3"/>
    <x v="3"/>
    <x v="3"/>
    <x v="3"/>
  </r>
  <r>
    <s v="TX500418"/>
    <x v="6"/>
    <x v="3"/>
    <n v="43.5"/>
    <n v="304.5"/>
    <x v="18"/>
    <x v="21"/>
    <x v="1"/>
    <x v="1"/>
    <x v="2"/>
    <x v="0"/>
    <x v="3"/>
    <x v="3"/>
    <x v="3"/>
    <x v="1"/>
  </r>
  <r>
    <s v="TX500419"/>
    <x v="9"/>
    <x v="10"/>
    <n v="30.5"/>
    <n v="579.5"/>
    <x v="18"/>
    <x v="18"/>
    <x v="2"/>
    <x v="3"/>
    <x v="0"/>
    <x v="0"/>
    <x v="3"/>
    <x v="7"/>
    <x v="3"/>
    <x v="2"/>
  </r>
  <r>
    <s v="TX500420"/>
    <x v="1"/>
    <x v="1"/>
    <n v="107.7"/>
    <n v="215.4"/>
    <x v="18"/>
    <x v="23"/>
    <x v="1"/>
    <x v="3"/>
    <x v="4"/>
    <x v="0"/>
    <x v="3"/>
    <x v="5"/>
    <x v="3"/>
    <x v="1"/>
  </r>
  <r>
    <s v="TX500421"/>
    <x v="17"/>
    <x v="18"/>
    <n v="57.1"/>
    <n v="1484.6000000000001"/>
    <x v="18"/>
    <x v="21"/>
    <x v="1"/>
    <x v="1"/>
    <x v="0"/>
    <x v="0"/>
    <x v="3"/>
    <x v="3"/>
    <x v="3"/>
    <x v="1"/>
  </r>
  <r>
    <s v="TX500422"/>
    <x v="2"/>
    <x v="7"/>
    <n v="111.7"/>
    <n v="1117"/>
    <x v="18"/>
    <x v="21"/>
    <x v="2"/>
    <x v="4"/>
    <x v="2"/>
    <x v="0"/>
    <x v="3"/>
    <x v="3"/>
    <x v="3"/>
    <x v="2"/>
  </r>
  <r>
    <s v="TX500423"/>
    <x v="18"/>
    <x v="3"/>
    <n v="44.3"/>
    <n v="310.09999999999997"/>
    <x v="18"/>
    <x v="24"/>
    <x v="1"/>
    <x v="3"/>
    <x v="2"/>
    <x v="0"/>
    <x v="3"/>
    <x v="2"/>
    <x v="3"/>
    <x v="1"/>
  </r>
  <r>
    <s v="TX500424"/>
    <x v="2"/>
    <x v="8"/>
    <n v="95.8"/>
    <n v="766.4"/>
    <x v="18"/>
    <x v="17"/>
    <x v="3"/>
    <x v="0"/>
    <x v="0"/>
    <x v="0"/>
    <x v="3"/>
    <x v="4"/>
    <x v="3"/>
    <x v="3"/>
  </r>
  <r>
    <s v="TX500425"/>
    <x v="10"/>
    <x v="3"/>
    <n v="22.6"/>
    <n v="158.20000000000002"/>
    <x v="18"/>
    <x v="24"/>
    <x v="2"/>
    <x v="3"/>
    <x v="1"/>
    <x v="0"/>
    <x v="3"/>
    <x v="2"/>
    <x v="3"/>
    <x v="2"/>
  </r>
  <r>
    <s v="TX500426"/>
    <x v="8"/>
    <x v="8"/>
    <n v="25.6"/>
    <n v="204.8"/>
    <x v="18"/>
    <x v="20"/>
    <x v="2"/>
    <x v="4"/>
    <x v="0"/>
    <x v="0"/>
    <x v="3"/>
    <x v="1"/>
    <x v="3"/>
    <x v="2"/>
  </r>
  <r>
    <s v="TX500427"/>
    <x v="6"/>
    <x v="27"/>
    <n v="54.3"/>
    <n v="868.8"/>
    <x v="18"/>
    <x v="24"/>
    <x v="2"/>
    <x v="4"/>
    <x v="0"/>
    <x v="0"/>
    <x v="3"/>
    <x v="2"/>
    <x v="3"/>
    <x v="2"/>
  </r>
  <r>
    <s v="TX500428"/>
    <x v="18"/>
    <x v="15"/>
    <n v="51.3"/>
    <n v="666.9"/>
    <x v="18"/>
    <x v="20"/>
    <x v="1"/>
    <x v="0"/>
    <x v="2"/>
    <x v="0"/>
    <x v="3"/>
    <x v="1"/>
    <x v="3"/>
    <x v="1"/>
  </r>
  <r>
    <s v="TX500429"/>
    <x v="0"/>
    <x v="8"/>
    <n v="25.6"/>
    <n v="204.8"/>
    <x v="18"/>
    <x v="21"/>
    <x v="2"/>
    <x v="1"/>
    <x v="1"/>
    <x v="0"/>
    <x v="3"/>
    <x v="3"/>
    <x v="3"/>
    <x v="2"/>
  </r>
  <r>
    <s v="TX500430"/>
    <x v="0"/>
    <x v="1"/>
    <n v="15.6"/>
    <n v="31.2"/>
    <x v="18"/>
    <x v="21"/>
    <x v="2"/>
    <x v="2"/>
    <x v="2"/>
    <x v="0"/>
    <x v="3"/>
    <x v="3"/>
    <x v="3"/>
    <x v="2"/>
  </r>
  <r>
    <s v="TX500431"/>
    <x v="8"/>
    <x v="2"/>
    <n v="30.3"/>
    <n v="90.9"/>
    <x v="18"/>
    <x v="23"/>
    <x v="2"/>
    <x v="0"/>
    <x v="1"/>
    <x v="0"/>
    <x v="3"/>
    <x v="5"/>
    <x v="3"/>
    <x v="2"/>
  </r>
  <r>
    <s v="TX500432"/>
    <x v="12"/>
    <x v="1"/>
    <n v="30.3"/>
    <n v="60.6"/>
    <x v="18"/>
    <x v="25"/>
    <x v="2"/>
    <x v="0"/>
    <x v="2"/>
    <x v="0"/>
    <x v="37"/>
    <x v="0"/>
    <x v="3"/>
    <x v="2"/>
  </r>
  <r>
    <s v="TX500433"/>
    <x v="10"/>
    <x v="2"/>
    <n v="53"/>
    <n v="159"/>
    <x v="18"/>
    <x v="19"/>
    <x v="2"/>
    <x v="2"/>
    <x v="0"/>
    <x v="0"/>
    <x v="24"/>
    <x v="6"/>
    <x v="3"/>
    <x v="2"/>
  </r>
  <r>
    <s v="TX500434"/>
    <x v="5"/>
    <x v="16"/>
    <n v="59.9"/>
    <n v="1078.2"/>
    <x v="18"/>
    <x v="24"/>
    <x v="1"/>
    <x v="2"/>
    <x v="4"/>
    <x v="0"/>
    <x v="25"/>
    <x v="2"/>
    <x v="3"/>
    <x v="1"/>
  </r>
  <r>
    <s v="TX500435"/>
    <x v="9"/>
    <x v="1"/>
    <n v="45.7"/>
    <n v="91.4"/>
    <x v="18"/>
    <x v="21"/>
    <x v="2"/>
    <x v="1"/>
    <x v="2"/>
    <x v="0"/>
    <x v="6"/>
    <x v="3"/>
    <x v="3"/>
    <x v="2"/>
  </r>
  <r>
    <s v="TX500436"/>
    <x v="8"/>
    <x v="12"/>
    <n v="46.1"/>
    <n v="184.4"/>
    <x v="18"/>
    <x v="21"/>
    <x v="1"/>
    <x v="0"/>
    <x v="0"/>
    <x v="0"/>
    <x v="6"/>
    <x v="3"/>
    <x v="3"/>
    <x v="1"/>
  </r>
  <r>
    <s v="TX500437"/>
    <x v="8"/>
    <x v="2"/>
    <n v="17.5"/>
    <n v="52.5"/>
    <x v="18"/>
    <x v="21"/>
    <x v="2"/>
    <x v="0"/>
    <x v="2"/>
    <x v="0"/>
    <x v="8"/>
    <x v="3"/>
    <x v="3"/>
    <x v="2"/>
  </r>
  <r>
    <s v="TX500438"/>
    <x v="10"/>
    <x v="2"/>
    <n v="36.5"/>
    <n v="109.5"/>
    <x v="18"/>
    <x v="26"/>
    <x v="1"/>
    <x v="2"/>
    <x v="0"/>
    <x v="0"/>
    <x v="8"/>
    <x v="11"/>
    <x v="3"/>
    <x v="1"/>
  </r>
  <r>
    <s v="TX500439"/>
    <x v="8"/>
    <x v="1"/>
    <n v="47.5"/>
    <n v="95"/>
    <x v="19"/>
    <x v="24"/>
    <x v="2"/>
    <x v="1"/>
    <x v="0"/>
    <x v="0"/>
    <x v="8"/>
    <x v="1"/>
    <x v="3"/>
    <x v="2"/>
  </r>
  <r>
    <s v="TX500440"/>
    <x v="6"/>
    <x v="9"/>
    <n v="45.6"/>
    <n v="228"/>
    <x v="19"/>
    <x v="24"/>
    <x v="2"/>
    <x v="0"/>
    <x v="2"/>
    <x v="0"/>
    <x v="8"/>
    <x v="1"/>
    <x v="3"/>
    <x v="2"/>
  </r>
  <r>
    <s v="TX500441"/>
    <x v="9"/>
    <x v="1"/>
    <n v="50.5"/>
    <n v="101"/>
    <x v="19"/>
    <x v="24"/>
    <x v="1"/>
    <x v="0"/>
    <x v="1"/>
    <x v="0"/>
    <x v="17"/>
    <x v="1"/>
    <x v="3"/>
    <x v="1"/>
  </r>
  <r>
    <s v="TX500442"/>
    <x v="2"/>
    <x v="7"/>
    <n v="99.8"/>
    <n v="998"/>
    <x v="19"/>
    <x v="23"/>
    <x v="2"/>
    <x v="2"/>
    <x v="1"/>
    <x v="0"/>
    <x v="17"/>
    <x v="2"/>
    <x v="3"/>
    <x v="2"/>
  </r>
  <r>
    <s v="TX500443"/>
    <x v="8"/>
    <x v="20"/>
    <n v="19.2"/>
    <n v="288"/>
    <x v="19"/>
    <x v="24"/>
    <x v="3"/>
    <x v="4"/>
    <x v="1"/>
    <x v="0"/>
    <x v="26"/>
    <x v="1"/>
    <x v="3"/>
    <x v="3"/>
  </r>
  <r>
    <s v="TX500444"/>
    <x v="17"/>
    <x v="2"/>
    <n v="22.6"/>
    <n v="67.800000000000011"/>
    <x v="19"/>
    <x v="20"/>
    <x v="1"/>
    <x v="1"/>
    <x v="0"/>
    <x v="0"/>
    <x v="11"/>
    <x v="3"/>
    <x v="3"/>
    <x v="1"/>
  </r>
  <r>
    <s v="TX500445"/>
    <x v="1"/>
    <x v="20"/>
    <n v="126.9"/>
    <n v="1903.5"/>
    <x v="19"/>
    <x v="24"/>
    <x v="2"/>
    <x v="0"/>
    <x v="2"/>
    <x v="0"/>
    <x v="11"/>
    <x v="1"/>
    <x v="3"/>
    <x v="2"/>
  </r>
  <r>
    <s v="TX500446"/>
    <x v="2"/>
    <x v="1"/>
    <n v="100.3"/>
    <n v="200.6"/>
    <x v="19"/>
    <x v="20"/>
    <x v="2"/>
    <x v="0"/>
    <x v="1"/>
    <x v="0"/>
    <x v="11"/>
    <x v="3"/>
    <x v="3"/>
    <x v="2"/>
  </r>
  <r>
    <s v="TX500447"/>
    <x v="4"/>
    <x v="16"/>
    <n v="24.6"/>
    <n v="442.8"/>
    <x v="19"/>
    <x v="20"/>
    <x v="2"/>
    <x v="4"/>
    <x v="0"/>
    <x v="0"/>
    <x v="13"/>
    <x v="3"/>
    <x v="3"/>
    <x v="2"/>
  </r>
  <r>
    <s v="TX500448"/>
    <x v="6"/>
    <x v="1"/>
    <n v="47.3"/>
    <n v="94.6"/>
    <x v="19"/>
    <x v="20"/>
    <x v="1"/>
    <x v="1"/>
    <x v="2"/>
    <x v="0"/>
    <x v="13"/>
    <x v="3"/>
    <x v="3"/>
    <x v="1"/>
  </r>
  <r>
    <s v="TX500449"/>
    <x v="6"/>
    <x v="3"/>
    <n v="40.799999999999997"/>
    <n v="285.59999999999997"/>
    <x v="19"/>
    <x v="23"/>
    <x v="2"/>
    <x v="2"/>
    <x v="2"/>
    <x v="0"/>
    <x v="21"/>
    <x v="2"/>
    <x v="3"/>
    <x v="2"/>
  </r>
  <r>
    <s v="TX500450"/>
    <x v="8"/>
    <x v="8"/>
    <n v="49.2"/>
    <n v="393.6"/>
    <x v="19"/>
    <x v="24"/>
    <x v="2"/>
    <x v="0"/>
    <x v="0"/>
    <x v="0"/>
    <x v="1"/>
    <x v="1"/>
    <x v="3"/>
    <x v="2"/>
  </r>
  <r>
    <s v="TX500451"/>
    <x v="8"/>
    <x v="0"/>
    <n v="28.5"/>
    <n v="28.5"/>
    <x v="19"/>
    <x v="24"/>
    <x v="0"/>
    <x v="2"/>
    <x v="1"/>
    <x v="0"/>
    <x v="3"/>
    <x v="1"/>
    <x v="3"/>
    <x v="0"/>
  </r>
  <r>
    <s v="TX500452"/>
    <x v="18"/>
    <x v="1"/>
    <n v="36.799999999999997"/>
    <n v="73.599999999999994"/>
    <x v="19"/>
    <x v="19"/>
    <x v="2"/>
    <x v="0"/>
    <x v="2"/>
    <x v="0"/>
    <x v="3"/>
    <x v="4"/>
    <x v="3"/>
    <x v="2"/>
  </r>
  <r>
    <s v="TX500453"/>
    <x v="7"/>
    <x v="2"/>
    <n v="33.5"/>
    <n v="100.5"/>
    <x v="19"/>
    <x v="20"/>
    <x v="2"/>
    <x v="0"/>
    <x v="1"/>
    <x v="0"/>
    <x v="3"/>
    <x v="3"/>
    <x v="3"/>
    <x v="2"/>
  </r>
  <r>
    <s v="TX500454"/>
    <x v="6"/>
    <x v="13"/>
    <n v="62.5"/>
    <n v="375"/>
    <x v="19"/>
    <x v="24"/>
    <x v="2"/>
    <x v="0"/>
    <x v="0"/>
    <x v="0"/>
    <x v="3"/>
    <x v="1"/>
    <x v="3"/>
    <x v="2"/>
  </r>
  <r>
    <s v="TX500455"/>
    <x v="8"/>
    <x v="29"/>
    <n v="47.9"/>
    <n v="1916"/>
    <x v="19"/>
    <x v="20"/>
    <x v="2"/>
    <x v="3"/>
    <x v="0"/>
    <x v="0"/>
    <x v="3"/>
    <x v="3"/>
    <x v="3"/>
    <x v="2"/>
  </r>
  <r>
    <s v="TX500456"/>
    <x v="6"/>
    <x v="13"/>
    <n v="92.9"/>
    <n v="557.40000000000009"/>
    <x v="19"/>
    <x v="27"/>
    <x v="2"/>
    <x v="0"/>
    <x v="4"/>
    <x v="0"/>
    <x v="3"/>
    <x v="11"/>
    <x v="3"/>
    <x v="2"/>
  </r>
  <r>
    <s v="TX500457"/>
    <x v="12"/>
    <x v="2"/>
    <n v="44.1"/>
    <n v="132.30000000000001"/>
    <x v="19"/>
    <x v="21"/>
    <x v="2"/>
    <x v="1"/>
    <x v="1"/>
    <x v="0"/>
    <x v="43"/>
    <x v="7"/>
    <x v="3"/>
    <x v="2"/>
  </r>
  <r>
    <s v="TX500458"/>
    <x v="0"/>
    <x v="0"/>
    <n v="11.4"/>
    <n v="11.4"/>
    <x v="20"/>
    <x v="23"/>
    <x v="2"/>
    <x v="2"/>
    <x v="0"/>
    <x v="0"/>
    <x v="5"/>
    <x v="1"/>
    <x v="3"/>
    <x v="2"/>
  </r>
  <r>
    <s v="TX500459"/>
    <x v="6"/>
    <x v="0"/>
    <n v="83.7"/>
    <n v="83.7"/>
    <x v="20"/>
    <x v="23"/>
    <x v="2"/>
    <x v="0"/>
    <x v="2"/>
    <x v="0"/>
    <x v="6"/>
    <x v="1"/>
    <x v="3"/>
    <x v="2"/>
  </r>
  <r>
    <s v="TX500460"/>
    <x v="10"/>
    <x v="1"/>
    <n v="23.2"/>
    <n v="46.4"/>
    <x v="20"/>
    <x v="24"/>
    <x v="1"/>
    <x v="2"/>
    <x v="0"/>
    <x v="0"/>
    <x v="8"/>
    <x v="3"/>
    <x v="3"/>
    <x v="1"/>
  </r>
  <r>
    <s v="TX500461"/>
    <x v="2"/>
    <x v="0"/>
    <n v="162.1"/>
    <n v="162.1"/>
    <x v="20"/>
    <x v="25"/>
    <x v="2"/>
    <x v="0"/>
    <x v="2"/>
    <x v="0"/>
    <x v="9"/>
    <x v="2"/>
    <x v="3"/>
    <x v="2"/>
  </r>
  <r>
    <s v="TX500462"/>
    <x v="6"/>
    <x v="12"/>
    <n v="49.2"/>
    <n v="196.8"/>
    <x v="20"/>
    <x v="17"/>
    <x v="1"/>
    <x v="1"/>
    <x v="0"/>
    <x v="0"/>
    <x v="9"/>
    <x v="5"/>
    <x v="3"/>
    <x v="1"/>
  </r>
  <r>
    <s v="TX500463"/>
    <x v="1"/>
    <x v="1"/>
    <n v="61"/>
    <n v="122"/>
    <x v="20"/>
    <x v="24"/>
    <x v="1"/>
    <x v="3"/>
    <x v="0"/>
    <x v="0"/>
    <x v="10"/>
    <x v="3"/>
    <x v="3"/>
    <x v="1"/>
  </r>
  <r>
    <s v="TX500464"/>
    <x v="2"/>
    <x v="7"/>
    <n v="53.1"/>
    <n v="531"/>
    <x v="20"/>
    <x v="23"/>
    <x v="1"/>
    <x v="0"/>
    <x v="0"/>
    <x v="0"/>
    <x v="11"/>
    <x v="1"/>
    <x v="3"/>
    <x v="1"/>
  </r>
  <r>
    <s v="TX500465"/>
    <x v="4"/>
    <x v="1"/>
    <n v="22.4"/>
    <n v="44.8"/>
    <x v="20"/>
    <x v="23"/>
    <x v="0"/>
    <x v="1"/>
    <x v="2"/>
    <x v="0"/>
    <x v="13"/>
    <x v="1"/>
    <x v="3"/>
    <x v="0"/>
  </r>
  <r>
    <s v="TX500466"/>
    <x v="1"/>
    <x v="9"/>
    <n v="75.3"/>
    <n v="376.5"/>
    <x v="20"/>
    <x v="24"/>
    <x v="1"/>
    <x v="0"/>
    <x v="0"/>
    <x v="0"/>
    <x v="21"/>
    <x v="3"/>
    <x v="3"/>
    <x v="1"/>
  </r>
  <r>
    <s v="TX500467"/>
    <x v="6"/>
    <x v="0"/>
    <n v="48.5"/>
    <n v="48.5"/>
    <x v="20"/>
    <x v="24"/>
    <x v="2"/>
    <x v="0"/>
    <x v="1"/>
    <x v="0"/>
    <x v="21"/>
    <x v="3"/>
    <x v="3"/>
    <x v="2"/>
  </r>
  <r>
    <s v="TX500468"/>
    <x v="6"/>
    <x v="0"/>
    <n v="42.6"/>
    <n v="42.6"/>
    <x v="20"/>
    <x v="17"/>
    <x v="2"/>
    <x v="3"/>
    <x v="0"/>
    <x v="0"/>
    <x v="1"/>
    <x v="5"/>
    <x v="3"/>
    <x v="2"/>
  </r>
  <r>
    <s v="TX500469"/>
    <x v="5"/>
    <x v="9"/>
    <n v="49"/>
    <n v="245"/>
    <x v="20"/>
    <x v="24"/>
    <x v="1"/>
    <x v="0"/>
    <x v="0"/>
    <x v="0"/>
    <x v="22"/>
    <x v="3"/>
    <x v="3"/>
    <x v="1"/>
  </r>
  <r>
    <s v="TX500470"/>
    <x v="8"/>
    <x v="2"/>
    <n v="31.3"/>
    <n v="93.9"/>
    <x v="20"/>
    <x v="24"/>
    <x v="1"/>
    <x v="2"/>
    <x v="1"/>
    <x v="0"/>
    <x v="3"/>
    <x v="3"/>
    <x v="3"/>
    <x v="1"/>
  </r>
  <r>
    <s v="TX500471"/>
    <x v="2"/>
    <x v="1"/>
    <n v="85.4"/>
    <n v="170.8"/>
    <x v="20"/>
    <x v="24"/>
    <x v="2"/>
    <x v="2"/>
    <x v="0"/>
    <x v="0"/>
    <x v="3"/>
    <x v="3"/>
    <x v="3"/>
    <x v="2"/>
  </r>
  <r>
    <s v="TX500472"/>
    <x v="8"/>
    <x v="12"/>
    <n v="40"/>
    <n v="160"/>
    <x v="20"/>
    <x v="24"/>
    <x v="3"/>
    <x v="0"/>
    <x v="2"/>
    <x v="0"/>
    <x v="3"/>
    <x v="3"/>
    <x v="3"/>
    <x v="3"/>
  </r>
  <r>
    <s v="TX500473"/>
    <x v="5"/>
    <x v="1"/>
    <n v="38.5"/>
    <n v="77"/>
    <x v="20"/>
    <x v="25"/>
    <x v="1"/>
    <x v="1"/>
    <x v="2"/>
    <x v="0"/>
    <x v="3"/>
    <x v="2"/>
    <x v="3"/>
    <x v="1"/>
  </r>
  <r>
    <s v="TX500474"/>
    <x v="2"/>
    <x v="1"/>
    <n v="57.8"/>
    <n v="115.6"/>
    <x v="20"/>
    <x v="24"/>
    <x v="0"/>
    <x v="0"/>
    <x v="0"/>
    <x v="0"/>
    <x v="3"/>
    <x v="3"/>
    <x v="3"/>
    <x v="0"/>
  </r>
  <r>
    <s v="TX500475"/>
    <x v="8"/>
    <x v="0"/>
    <n v="19.2"/>
    <n v="19.2"/>
    <x v="20"/>
    <x v="24"/>
    <x v="2"/>
    <x v="0"/>
    <x v="4"/>
    <x v="0"/>
    <x v="3"/>
    <x v="3"/>
    <x v="3"/>
    <x v="2"/>
  </r>
  <r>
    <s v="TX500476"/>
    <x v="6"/>
    <x v="13"/>
    <n v="114.8"/>
    <n v="688.8"/>
    <x v="20"/>
    <x v="25"/>
    <x v="1"/>
    <x v="1"/>
    <x v="1"/>
    <x v="0"/>
    <x v="3"/>
    <x v="2"/>
    <x v="3"/>
    <x v="1"/>
  </r>
  <r>
    <s v="TX500477"/>
    <x v="10"/>
    <x v="3"/>
    <n v="48.4"/>
    <n v="338.8"/>
    <x v="20"/>
    <x v="25"/>
    <x v="2"/>
    <x v="3"/>
    <x v="1"/>
    <x v="0"/>
    <x v="3"/>
    <x v="2"/>
    <x v="3"/>
    <x v="2"/>
  </r>
  <r>
    <s v="TX500478"/>
    <x v="9"/>
    <x v="9"/>
    <n v="73.2"/>
    <n v="366"/>
    <x v="20"/>
    <x v="24"/>
    <x v="2"/>
    <x v="1"/>
    <x v="4"/>
    <x v="0"/>
    <x v="3"/>
    <x v="3"/>
    <x v="3"/>
    <x v="2"/>
  </r>
  <r>
    <s v="TX500479"/>
    <x v="15"/>
    <x v="1"/>
    <n v="48.6"/>
    <n v="97.2"/>
    <x v="20"/>
    <x v="17"/>
    <x v="2"/>
    <x v="3"/>
    <x v="0"/>
    <x v="0"/>
    <x v="3"/>
    <x v="5"/>
    <x v="3"/>
    <x v="2"/>
  </r>
  <r>
    <s v="TX500480"/>
    <x v="0"/>
    <x v="13"/>
    <n v="48.7"/>
    <n v="292.20000000000005"/>
    <x v="20"/>
    <x v="24"/>
    <x v="1"/>
    <x v="0"/>
    <x v="0"/>
    <x v="0"/>
    <x v="3"/>
    <x v="3"/>
    <x v="3"/>
    <x v="1"/>
  </r>
  <r>
    <s v="TX500481"/>
    <x v="4"/>
    <x v="1"/>
    <n v="32.200000000000003"/>
    <n v="64.400000000000006"/>
    <x v="20"/>
    <x v="25"/>
    <x v="1"/>
    <x v="2"/>
    <x v="2"/>
    <x v="0"/>
    <x v="3"/>
    <x v="2"/>
    <x v="3"/>
    <x v="1"/>
  </r>
  <r>
    <s v="TX500482"/>
    <x v="15"/>
    <x v="8"/>
    <n v="25.8"/>
    <n v="206.4"/>
    <x v="20"/>
    <x v="24"/>
    <x v="1"/>
    <x v="0"/>
    <x v="0"/>
    <x v="0"/>
    <x v="37"/>
    <x v="3"/>
    <x v="3"/>
    <x v="1"/>
  </r>
  <r>
    <s v="TX500483"/>
    <x v="6"/>
    <x v="1"/>
    <n v="94.8"/>
    <n v="189.6"/>
    <x v="21"/>
    <x v="17"/>
    <x v="2"/>
    <x v="1"/>
    <x v="1"/>
    <x v="0"/>
    <x v="25"/>
    <x v="2"/>
    <x v="3"/>
    <x v="2"/>
  </r>
  <r>
    <s v="TX500484"/>
    <x v="15"/>
    <x v="30"/>
    <n v="56.8"/>
    <n v="1420"/>
    <x v="21"/>
    <x v="17"/>
    <x v="1"/>
    <x v="0"/>
    <x v="0"/>
    <x v="0"/>
    <x v="25"/>
    <x v="2"/>
    <x v="3"/>
    <x v="1"/>
  </r>
  <r>
    <s v="TX500485"/>
    <x v="8"/>
    <x v="27"/>
    <n v="18.3"/>
    <n v="292.8"/>
    <x v="21"/>
    <x v="28"/>
    <x v="2"/>
    <x v="2"/>
    <x v="2"/>
    <x v="0"/>
    <x v="23"/>
    <x v="6"/>
    <x v="3"/>
    <x v="2"/>
  </r>
  <r>
    <s v="TX500486"/>
    <x v="0"/>
    <x v="2"/>
    <n v="16.8"/>
    <n v="50.400000000000006"/>
    <x v="21"/>
    <x v="22"/>
    <x v="2"/>
    <x v="2"/>
    <x v="2"/>
    <x v="0"/>
    <x v="8"/>
    <x v="0"/>
    <x v="3"/>
    <x v="2"/>
  </r>
  <r>
    <s v="TX500487"/>
    <x v="5"/>
    <x v="5"/>
    <n v="35.799999999999997"/>
    <n v="393.79999999999995"/>
    <x v="21"/>
    <x v="23"/>
    <x v="1"/>
    <x v="1"/>
    <x v="0"/>
    <x v="0"/>
    <x v="17"/>
    <x v="3"/>
    <x v="3"/>
    <x v="1"/>
  </r>
  <r>
    <s v="TX500488"/>
    <x v="18"/>
    <x v="0"/>
    <n v="64.900000000000006"/>
    <n v="64.900000000000006"/>
    <x v="21"/>
    <x v="23"/>
    <x v="1"/>
    <x v="0"/>
    <x v="1"/>
    <x v="0"/>
    <x v="17"/>
    <x v="3"/>
    <x v="3"/>
    <x v="1"/>
  </r>
  <r>
    <s v="TX500489"/>
    <x v="18"/>
    <x v="0"/>
    <n v="28.5"/>
    <n v="28.5"/>
    <x v="21"/>
    <x v="25"/>
    <x v="0"/>
    <x v="1"/>
    <x v="0"/>
    <x v="0"/>
    <x v="9"/>
    <x v="1"/>
    <x v="3"/>
    <x v="0"/>
  </r>
  <r>
    <s v="TX500490"/>
    <x v="18"/>
    <x v="1"/>
    <n v="103.5"/>
    <n v="207"/>
    <x v="21"/>
    <x v="25"/>
    <x v="2"/>
    <x v="1"/>
    <x v="0"/>
    <x v="0"/>
    <x v="10"/>
    <x v="1"/>
    <x v="3"/>
    <x v="2"/>
  </r>
  <r>
    <s v="TX500491"/>
    <x v="4"/>
    <x v="1"/>
    <n v="41.2"/>
    <n v="82.4"/>
    <x v="21"/>
    <x v="23"/>
    <x v="2"/>
    <x v="1"/>
    <x v="0"/>
    <x v="0"/>
    <x v="10"/>
    <x v="3"/>
    <x v="3"/>
    <x v="2"/>
  </r>
  <r>
    <s v="TX500492"/>
    <x v="9"/>
    <x v="0"/>
    <n v="37.799999999999997"/>
    <n v="37.799999999999997"/>
    <x v="21"/>
    <x v="25"/>
    <x v="2"/>
    <x v="3"/>
    <x v="3"/>
    <x v="0"/>
    <x v="11"/>
    <x v="1"/>
    <x v="3"/>
    <x v="2"/>
  </r>
  <r>
    <s v="TX500493"/>
    <x v="8"/>
    <x v="1"/>
    <n v="42.6"/>
    <n v="85.2"/>
    <x v="21"/>
    <x v="25"/>
    <x v="2"/>
    <x v="4"/>
    <x v="0"/>
    <x v="0"/>
    <x v="11"/>
    <x v="1"/>
    <x v="3"/>
    <x v="2"/>
  </r>
  <r>
    <s v="TX500494"/>
    <x v="8"/>
    <x v="7"/>
    <n v="15.2"/>
    <n v="152"/>
    <x v="21"/>
    <x v="25"/>
    <x v="2"/>
    <x v="2"/>
    <x v="0"/>
    <x v="0"/>
    <x v="11"/>
    <x v="1"/>
    <x v="3"/>
    <x v="2"/>
  </r>
  <r>
    <s v="TX500495"/>
    <x v="7"/>
    <x v="12"/>
    <n v="83.4"/>
    <n v="333.6"/>
    <x v="21"/>
    <x v="23"/>
    <x v="2"/>
    <x v="2"/>
    <x v="1"/>
    <x v="0"/>
    <x v="18"/>
    <x v="3"/>
    <x v="3"/>
    <x v="2"/>
  </r>
  <r>
    <s v="TX500496"/>
    <x v="19"/>
    <x v="1"/>
    <n v="27.7"/>
    <n v="55.4"/>
    <x v="21"/>
    <x v="23"/>
    <x v="2"/>
    <x v="0"/>
    <x v="1"/>
    <x v="0"/>
    <x v="13"/>
    <x v="3"/>
    <x v="3"/>
    <x v="2"/>
  </r>
  <r>
    <s v="TX500497"/>
    <x v="10"/>
    <x v="4"/>
    <n v="20.8"/>
    <n v="249.60000000000002"/>
    <x v="21"/>
    <x v="23"/>
    <x v="1"/>
    <x v="3"/>
    <x v="0"/>
    <x v="0"/>
    <x v="13"/>
    <x v="3"/>
    <x v="3"/>
    <x v="1"/>
  </r>
  <r>
    <s v="TX500498"/>
    <x v="11"/>
    <x v="1"/>
    <n v="72.7"/>
    <n v="145.4"/>
    <x v="21"/>
    <x v="19"/>
    <x v="2"/>
    <x v="4"/>
    <x v="2"/>
    <x v="0"/>
    <x v="44"/>
    <x v="5"/>
    <x v="3"/>
    <x v="2"/>
  </r>
  <r>
    <s v="TX500499"/>
    <x v="10"/>
    <x v="12"/>
    <n v="38.6"/>
    <n v="154.4"/>
    <x v="21"/>
    <x v="23"/>
    <x v="1"/>
    <x v="0"/>
    <x v="2"/>
    <x v="0"/>
    <x v="22"/>
    <x v="3"/>
    <x v="3"/>
    <x v="1"/>
  </r>
  <r>
    <s v="TX500500"/>
    <x v="8"/>
    <x v="3"/>
    <n v="33.1"/>
    <n v="231.70000000000002"/>
    <x v="21"/>
    <x v="23"/>
    <x v="3"/>
    <x v="4"/>
    <x v="3"/>
    <x v="0"/>
    <x v="3"/>
    <x v="3"/>
    <x v="3"/>
    <x v="3"/>
  </r>
  <r>
    <s v="TX500501"/>
    <x v="10"/>
    <x v="1"/>
    <n v="30.5"/>
    <n v="61"/>
    <x v="21"/>
    <x v="24"/>
    <x v="0"/>
    <x v="1"/>
    <x v="1"/>
    <x v="0"/>
    <x v="3"/>
    <x v="7"/>
    <x v="3"/>
    <x v="0"/>
  </r>
  <r>
    <s v="TX500502"/>
    <x v="9"/>
    <x v="1"/>
    <n v="69.599999999999994"/>
    <n v="139.19999999999999"/>
    <x v="21"/>
    <x v="23"/>
    <x v="1"/>
    <x v="0"/>
    <x v="1"/>
    <x v="0"/>
    <x v="3"/>
    <x v="3"/>
    <x v="3"/>
    <x v="1"/>
  </r>
  <r>
    <s v="TX500503"/>
    <x v="11"/>
    <x v="0"/>
    <n v="42.4"/>
    <n v="42.4"/>
    <x v="21"/>
    <x v="19"/>
    <x v="2"/>
    <x v="1"/>
    <x v="0"/>
    <x v="0"/>
    <x v="3"/>
    <x v="5"/>
    <x v="3"/>
    <x v="2"/>
  </r>
  <r>
    <s v="TX500504"/>
    <x v="17"/>
    <x v="0"/>
    <n v="32.200000000000003"/>
    <n v="32.200000000000003"/>
    <x v="21"/>
    <x v="17"/>
    <x v="2"/>
    <x v="2"/>
    <x v="1"/>
    <x v="0"/>
    <x v="3"/>
    <x v="2"/>
    <x v="3"/>
    <x v="2"/>
  </r>
  <r>
    <s v="TX500505"/>
    <x v="6"/>
    <x v="1"/>
    <n v="41.5"/>
    <n v="83"/>
    <x v="21"/>
    <x v="17"/>
    <x v="2"/>
    <x v="0"/>
    <x v="2"/>
    <x v="0"/>
    <x v="3"/>
    <x v="2"/>
    <x v="3"/>
    <x v="2"/>
  </r>
  <r>
    <s v="TX500506"/>
    <x v="16"/>
    <x v="11"/>
    <n v="58.9"/>
    <n v="530.1"/>
    <x v="21"/>
    <x v="19"/>
    <x v="2"/>
    <x v="3"/>
    <x v="0"/>
    <x v="0"/>
    <x v="3"/>
    <x v="5"/>
    <x v="3"/>
    <x v="2"/>
  </r>
  <r>
    <s v="TX500507"/>
    <x v="2"/>
    <x v="0"/>
    <n v="57.1"/>
    <n v="57.1"/>
    <x v="21"/>
    <x v="17"/>
    <x v="2"/>
    <x v="1"/>
    <x v="0"/>
    <x v="0"/>
    <x v="3"/>
    <x v="2"/>
    <x v="3"/>
    <x v="2"/>
  </r>
  <r>
    <s v="TX500508"/>
    <x v="6"/>
    <x v="0"/>
    <n v="57.2"/>
    <n v="57.2"/>
    <x v="21"/>
    <x v="25"/>
    <x v="1"/>
    <x v="1"/>
    <x v="0"/>
    <x v="0"/>
    <x v="3"/>
    <x v="1"/>
    <x v="3"/>
    <x v="1"/>
  </r>
  <r>
    <s v="TX500509"/>
    <x v="8"/>
    <x v="1"/>
    <n v="35.1"/>
    <n v="70.2"/>
    <x v="21"/>
    <x v="23"/>
    <x v="1"/>
    <x v="1"/>
    <x v="0"/>
    <x v="0"/>
    <x v="6"/>
    <x v="3"/>
    <x v="3"/>
    <x v="1"/>
  </r>
  <r>
    <s v="TX500510"/>
    <x v="1"/>
    <x v="0"/>
    <n v="52.1"/>
    <n v="52.1"/>
    <x v="21"/>
    <x v="25"/>
    <x v="2"/>
    <x v="4"/>
    <x v="1"/>
    <x v="0"/>
    <x v="8"/>
    <x v="1"/>
    <x v="3"/>
    <x v="2"/>
  </r>
  <r>
    <s v="TX500511"/>
    <x v="13"/>
    <x v="2"/>
    <n v="59.8"/>
    <n v="179.39999999999998"/>
    <x v="21"/>
    <x v="25"/>
    <x v="2"/>
    <x v="4"/>
    <x v="1"/>
    <x v="0"/>
    <x v="8"/>
    <x v="1"/>
    <x v="3"/>
    <x v="2"/>
  </r>
  <r>
    <s v="TX500512"/>
    <x v="3"/>
    <x v="12"/>
    <n v="83.3"/>
    <n v="333.2"/>
    <x v="21"/>
    <x v="24"/>
    <x v="0"/>
    <x v="2"/>
    <x v="0"/>
    <x v="0"/>
    <x v="8"/>
    <x v="7"/>
    <x v="3"/>
    <x v="0"/>
  </r>
  <r>
    <s v="TX500513"/>
    <x v="15"/>
    <x v="4"/>
    <n v="41.3"/>
    <n v="495.59999999999997"/>
    <x v="21"/>
    <x v="23"/>
    <x v="2"/>
    <x v="1"/>
    <x v="0"/>
    <x v="0"/>
    <x v="8"/>
    <x v="3"/>
    <x v="3"/>
    <x v="2"/>
  </r>
  <r>
    <s v="TX500514"/>
    <x v="8"/>
    <x v="9"/>
    <n v="16"/>
    <n v="80"/>
    <x v="21"/>
    <x v="25"/>
    <x v="1"/>
    <x v="4"/>
    <x v="1"/>
    <x v="0"/>
    <x v="9"/>
    <x v="1"/>
    <x v="3"/>
    <x v="1"/>
  </r>
  <r>
    <s v="TX500515"/>
    <x v="10"/>
    <x v="1"/>
    <n v="20.8"/>
    <n v="41.6"/>
    <x v="22"/>
    <x v="17"/>
    <x v="1"/>
    <x v="0"/>
    <x v="2"/>
    <x v="0"/>
    <x v="11"/>
    <x v="1"/>
    <x v="3"/>
    <x v="1"/>
  </r>
  <r>
    <s v="TX500516"/>
    <x v="8"/>
    <x v="31"/>
    <n v="27.1"/>
    <n v="758.80000000000007"/>
    <x v="22"/>
    <x v="25"/>
    <x v="0"/>
    <x v="3"/>
    <x v="2"/>
    <x v="0"/>
    <x v="11"/>
    <x v="3"/>
    <x v="3"/>
    <x v="0"/>
  </r>
  <r>
    <s v="TX500517"/>
    <x v="10"/>
    <x v="1"/>
    <n v="38.9"/>
    <n v="77.8"/>
    <x v="22"/>
    <x v="17"/>
    <x v="2"/>
    <x v="0"/>
    <x v="0"/>
    <x v="0"/>
    <x v="18"/>
    <x v="1"/>
    <x v="3"/>
    <x v="2"/>
  </r>
  <r>
    <s v="TX500518"/>
    <x v="0"/>
    <x v="1"/>
    <n v="10.8"/>
    <n v="21.6"/>
    <x v="22"/>
    <x v="19"/>
    <x v="2"/>
    <x v="1"/>
    <x v="2"/>
    <x v="0"/>
    <x v="45"/>
    <x v="2"/>
    <x v="3"/>
    <x v="2"/>
  </r>
  <r>
    <s v="TX500519"/>
    <x v="4"/>
    <x v="15"/>
    <n v="48.4"/>
    <n v="629.19999999999993"/>
    <x v="22"/>
    <x v="22"/>
    <x v="2"/>
    <x v="0"/>
    <x v="0"/>
    <x v="0"/>
    <x v="21"/>
    <x v="5"/>
    <x v="3"/>
    <x v="2"/>
  </r>
  <r>
    <s v="TX500520"/>
    <x v="4"/>
    <x v="2"/>
    <n v="29.2"/>
    <n v="87.6"/>
    <x v="22"/>
    <x v="19"/>
    <x v="2"/>
    <x v="1"/>
    <x v="1"/>
    <x v="0"/>
    <x v="2"/>
    <x v="2"/>
    <x v="3"/>
    <x v="2"/>
  </r>
  <r>
    <s v="TX500521"/>
    <x v="4"/>
    <x v="1"/>
    <n v="25.1"/>
    <n v="50.2"/>
    <x v="22"/>
    <x v="25"/>
    <x v="1"/>
    <x v="0"/>
    <x v="1"/>
    <x v="0"/>
    <x v="2"/>
    <x v="3"/>
    <x v="3"/>
    <x v="1"/>
  </r>
  <r>
    <s v="TX500522"/>
    <x v="7"/>
    <x v="2"/>
    <n v="65.599999999999994"/>
    <n v="196.79999999999998"/>
    <x v="22"/>
    <x v="23"/>
    <x v="2"/>
    <x v="2"/>
    <x v="1"/>
    <x v="0"/>
    <x v="3"/>
    <x v="7"/>
    <x v="3"/>
    <x v="2"/>
  </r>
  <r>
    <s v="TX500523"/>
    <x v="2"/>
    <x v="1"/>
    <n v="57.3"/>
    <n v="114.6"/>
    <x v="22"/>
    <x v="23"/>
    <x v="0"/>
    <x v="0"/>
    <x v="0"/>
    <x v="0"/>
    <x v="3"/>
    <x v="7"/>
    <x v="3"/>
    <x v="0"/>
  </r>
  <r>
    <s v="TX500524"/>
    <x v="9"/>
    <x v="12"/>
    <n v="22.4"/>
    <n v="89.6"/>
    <x v="22"/>
    <x v="25"/>
    <x v="2"/>
    <x v="2"/>
    <x v="2"/>
    <x v="0"/>
    <x v="3"/>
    <x v="3"/>
    <x v="3"/>
    <x v="2"/>
  </r>
  <r>
    <s v="TX500525"/>
    <x v="12"/>
    <x v="11"/>
    <n v="45.7"/>
    <n v="411.3"/>
    <x v="22"/>
    <x v="25"/>
    <x v="2"/>
    <x v="0"/>
    <x v="0"/>
    <x v="0"/>
    <x v="3"/>
    <x v="3"/>
    <x v="3"/>
    <x v="2"/>
  </r>
  <r>
    <s v="TX500526"/>
    <x v="8"/>
    <x v="1"/>
    <n v="29.3"/>
    <n v="58.6"/>
    <x v="22"/>
    <x v="25"/>
    <x v="1"/>
    <x v="1"/>
    <x v="0"/>
    <x v="0"/>
    <x v="3"/>
    <x v="3"/>
    <x v="3"/>
    <x v="1"/>
  </r>
  <r>
    <s v="TX500527"/>
    <x v="18"/>
    <x v="32"/>
    <n v="74"/>
    <n v="1628"/>
    <x v="22"/>
    <x v="25"/>
    <x v="1"/>
    <x v="0"/>
    <x v="2"/>
    <x v="0"/>
    <x v="3"/>
    <x v="3"/>
    <x v="3"/>
    <x v="1"/>
  </r>
  <r>
    <s v="TX500528"/>
    <x v="14"/>
    <x v="1"/>
    <n v="39.200000000000003"/>
    <n v="78.400000000000006"/>
    <x v="22"/>
    <x v="17"/>
    <x v="2"/>
    <x v="1"/>
    <x v="0"/>
    <x v="0"/>
    <x v="3"/>
    <x v="1"/>
    <x v="3"/>
    <x v="2"/>
  </r>
  <r>
    <s v="TX500529"/>
    <x v="4"/>
    <x v="14"/>
    <n v="62.7"/>
    <n v="1065.9000000000001"/>
    <x v="22"/>
    <x v="25"/>
    <x v="2"/>
    <x v="2"/>
    <x v="1"/>
    <x v="0"/>
    <x v="3"/>
    <x v="3"/>
    <x v="3"/>
    <x v="2"/>
  </r>
  <r>
    <s v="TX500530"/>
    <x v="10"/>
    <x v="1"/>
    <n v="60.1"/>
    <n v="120.2"/>
    <x v="22"/>
    <x v="25"/>
    <x v="2"/>
    <x v="3"/>
    <x v="0"/>
    <x v="0"/>
    <x v="3"/>
    <x v="3"/>
    <x v="3"/>
    <x v="2"/>
  </r>
  <r>
    <s v="TX500531"/>
    <x v="0"/>
    <x v="12"/>
    <n v="11.2"/>
    <n v="44.8"/>
    <x v="22"/>
    <x v="25"/>
    <x v="2"/>
    <x v="3"/>
    <x v="1"/>
    <x v="0"/>
    <x v="3"/>
    <x v="3"/>
    <x v="3"/>
    <x v="2"/>
  </r>
  <r>
    <s v="TX500532"/>
    <x v="8"/>
    <x v="1"/>
    <n v="22.9"/>
    <n v="45.8"/>
    <x v="22"/>
    <x v="25"/>
    <x v="2"/>
    <x v="0"/>
    <x v="0"/>
    <x v="0"/>
    <x v="6"/>
    <x v="3"/>
    <x v="3"/>
    <x v="2"/>
  </r>
  <r>
    <s v="TX500533"/>
    <x v="1"/>
    <x v="1"/>
    <n v="37.6"/>
    <n v="75.2"/>
    <x v="22"/>
    <x v="19"/>
    <x v="2"/>
    <x v="0"/>
    <x v="0"/>
    <x v="0"/>
    <x v="6"/>
    <x v="2"/>
    <x v="3"/>
    <x v="2"/>
  </r>
  <r>
    <s v="TX500534"/>
    <x v="6"/>
    <x v="0"/>
    <n v="42.4"/>
    <n v="42.4"/>
    <x v="22"/>
    <x v="25"/>
    <x v="2"/>
    <x v="3"/>
    <x v="2"/>
    <x v="0"/>
    <x v="6"/>
    <x v="3"/>
    <x v="3"/>
    <x v="2"/>
  </r>
  <r>
    <s v="TX500535"/>
    <x v="8"/>
    <x v="1"/>
    <n v="19.600000000000001"/>
    <n v="39.200000000000003"/>
    <x v="22"/>
    <x v="22"/>
    <x v="2"/>
    <x v="2"/>
    <x v="0"/>
    <x v="0"/>
    <x v="7"/>
    <x v="5"/>
    <x v="3"/>
    <x v="2"/>
  </r>
  <r>
    <s v="TX500536"/>
    <x v="9"/>
    <x v="0"/>
    <n v="90.5"/>
    <n v="90.5"/>
    <x v="22"/>
    <x v="19"/>
    <x v="2"/>
    <x v="2"/>
    <x v="0"/>
    <x v="0"/>
    <x v="7"/>
    <x v="2"/>
    <x v="3"/>
    <x v="2"/>
  </r>
  <r>
    <s v="TX500537"/>
    <x v="16"/>
    <x v="5"/>
    <n v="33.9"/>
    <n v="372.9"/>
    <x v="22"/>
    <x v="25"/>
    <x v="1"/>
    <x v="2"/>
    <x v="1"/>
    <x v="0"/>
    <x v="7"/>
    <x v="3"/>
    <x v="3"/>
    <x v="1"/>
  </r>
  <r>
    <s v="TX500538"/>
    <x v="0"/>
    <x v="1"/>
    <n v="32.799999999999997"/>
    <n v="65.599999999999994"/>
    <x v="22"/>
    <x v="17"/>
    <x v="2"/>
    <x v="4"/>
    <x v="4"/>
    <x v="0"/>
    <x v="8"/>
    <x v="1"/>
    <x v="3"/>
    <x v="2"/>
  </r>
  <r>
    <s v="TX500539"/>
    <x v="15"/>
    <x v="0"/>
    <n v="49.9"/>
    <n v="49.9"/>
    <x v="22"/>
    <x v="25"/>
    <x v="1"/>
    <x v="3"/>
    <x v="1"/>
    <x v="0"/>
    <x v="8"/>
    <x v="3"/>
    <x v="3"/>
    <x v="1"/>
  </r>
  <r>
    <s v="TX500540"/>
    <x v="7"/>
    <x v="9"/>
    <n v="79.2"/>
    <n v="396"/>
    <x v="22"/>
    <x v="25"/>
    <x v="2"/>
    <x v="4"/>
    <x v="0"/>
    <x v="0"/>
    <x v="8"/>
    <x v="3"/>
    <x v="3"/>
    <x v="2"/>
  </r>
  <r>
    <s v="TX500541"/>
    <x v="8"/>
    <x v="27"/>
    <n v="19.5"/>
    <n v="312"/>
    <x v="22"/>
    <x v="17"/>
    <x v="1"/>
    <x v="3"/>
    <x v="2"/>
    <x v="0"/>
    <x v="8"/>
    <x v="1"/>
    <x v="3"/>
    <x v="1"/>
  </r>
  <r>
    <s v="TX500542"/>
    <x v="8"/>
    <x v="12"/>
    <n v="18"/>
    <n v="72"/>
    <x v="22"/>
    <x v="25"/>
    <x v="1"/>
    <x v="1"/>
    <x v="0"/>
    <x v="0"/>
    <x v="10"/>
    <x v="3"/>
    <x v="3"/>
    <x v="1"/>
  </r>
  <r>
    <s v="TX500543"/>
    <x v="9"/>
    <x v="2"/>
    <n v="45.9"/>
    <n v="137.69999999999999"/>
    <x v="22"/>
    <x v="17"/>
    <x v="2"/>
    <x v="1"/>
    <x v="1"/>
    <x v="0"/>
    <x v="10"/>
    <x v="1"/>
    <x v="3"/>
    <x v="2"/>
  </r>
  <r>
    <s v="TX500544"/>
    <x v="11"/>
    <x v="0"/>
    <n v="41.2"/>
    <n v="41.2"/>
    <x v="22"/>
    <x v="17"/>
    <x v="2"/>
    <x v="1"/>
    <x v="2"/>
    <x v="0"/>
    <x v="11"/>
    <x v="1"/>
    <x v="3"/>
    <x v="2"/>
  </r>
  <r>
    <s v="TX500545"/>
    <x v="2"/>
    <x v="7"/>
    <n v="167.2"/>
    <n v="1672"/>
    <x v="22"/>
    <x v="17"/>
    <x v="2"/>
    <x v="2"/>
    <x v="2"/>
    <x v="0"/>
    <x v="32"/>
    <x v="1"/>
    <x v="3"/>
    <x v="2"/>
  </r>
  <r>
    <s v="TX500546"/>
    <x v="6"/>
    <x v="17"/>
    <n v="74.5"/>
    <n v="2235"/>
    <x v="23"/>
    <x v="22"/>
    <x v="2"/>
    <x v="1"/>
    <x v="2"/>
    <x v="0"/>
    <x v="38"/>
    <x v="2"/>
    <x v="3"/>
    <x v="2"/>
  </r>
  <r>
    <s v="TX500547"/>
    <x v="7"/>
    <x v="12"/>
    <n v="39.299999999999997"/>
    <n v="157.19999999999999"/>
    <x v="23"/>
    <x v="17"/>
    <x v="0"/>
    <x v="2"/>
    <x v="0"/>
    <x v="0"/>
    <x v="19"/>
    <x v="3"/>
    <x v="3"/>
    <x v="0"/>
  </r>
  <r>
    <s v="TX500548"/>
    <x v="9"/>
    <x v="0"/>
    <n v="68.5"/>
    <n v="68.5"/>
    <x v="23"/>
    <x v="22"/>
    <x v="1"/>
    <x v="1"/>
    <x v="2"/>
    <x v="0"/>
    <x v="12"/>
    <x v="2"/>
    <x v="3"/>
    <x v="1"/>
  </r>
  <r>
    <s v="TX500549"/>
    <x v="0"/>
    <x v="2"/>
    <n v="22.5"/>
    <n v="67.5"/>
    <x v="23"/>
    <x v="25"/>
    <x v="2"/>
    <x v="4"/>
    <x v="0"/>
    <x v="0"/>
    <x v="13"/>
    <x v="7"/>
    <x v="3"/>
    <x v="2"/>
  </r>
  <r>
    <s v="TX500550"/>
    <x v="1"/>
    <x v="0"/>
    <n v="48"/>
    <n v="48"/>
    <x v="23"/>
    <x v="17"/>
    <x v="3"/>
    <x v="4"/>
    <x v="1"/>
    <x v="0"/>
    <x v="46"/>
    <x v="3"/>
    <x v="3"/>
    <x v="3"/>
  </r>
  <r>
    <s v="TX500551"/>
    <x v="6"/>
    <x v="0"/>
    <n v="94"/>
    <n v="94"/>
    <x v="23"/>
    <x v="17"/>
    <x v="1"/>
    <x v="3"/>
    <x v="1"/>
    <x v="0"/>
    <x v="1"/>
    <x v="3"/>
    <x v="3"/>
    <x v="1"/>
  </r>
  <r>
    <s v="TX500552"/>
    <x v="8"/>
    <x v="2"/>
    <n v="21.9"/>
    <n v="65.699999999999989"/>
    <x v="23"/>
    <x v="17"/>
    <x v="2"/>
    <x v="0"/>
    <x v="0"/>
    <x v="0"/>
    <x v="44"/>
    <x v="3"/>
    <x v="3"/>
    <x v="2"/>
  </r>
  <r>
    <s v="TX500553"/>
    <x v="6"/>
    <x v="3"/>
    <n v="64.900000000000006"/>
    <n v="454.30000000000007"/>
    <x v="23"/>
    <x v="17"/>
    <x v="2"/>
    <x v="0"/>
    <x v="0"/>
    <x v="0"/>
    <x v="3"/>
    <x v="3"/>
    <x v="3"/>
    <x v="2"/>
  </r>
  <r>
    <s v="TX500554"/>
    <x v="12"/>
    <x v="0"/>
    <n v="52.9"/>
    <n v="52.9"/>
    <x v="23"/>
    <x v="25"/>
    <x v="2"/>
    <x v="1"/>
    <x v="1"/>
    <x v="0"/>
    <x v="3"/>
    <x v="7"/>
    <x v="3"/>
    <x v="2"/>
  </r>
  <r>
    <s v="TX500555"/>
    <x v="8"/>
    <x v="2"/>
    <n v="25.5"/>
    <n v="76.5"/>
    <x v="23"/>
    <x v="17"/>
    <x v="2"/>
    <x v="1"/>
    <x v="2"/>
    <x v="0"/>
    <x v="3"/>
    <x v="3"/>
    <x v="3"/>
    <x v="2"/>
  </r>
  <r>
    <s v="TX500556"/>
    <x v="6"/>
    <x v="2"/>
    <n v="51.9"/>
    <n v="155.69999999999999"/>
    <x v="23"/>
    <x v="17"/>
    <x v="2"/>
    <x v="3"/>
    <x v="0"/>
    <x v="0"/>
    <x v="3"/>
    <x v="3"/>
    <x v="3"/>
    <x v="2"/>
  </r>
  <r>
    <s v="TX500557"/>
    <x v="5"/>
    <x v="0"/>
    <n v="46.3"/>
    <n v="46.3"/>
    <x v="23"/>
    <x v="22"/>
    <x v="2"/>
    <x v="4"/>
    <x v="0"/>
    <x v="0"/>
    <x v="3"/>
    <x v="2"/>
    <x v="3"/>
    <x v="2"/>
  </r>
  <r>
    <s v="TX500558"/>
    <x v="6"/>
    <x v="1"/>
    <n v="68.2"/>
    <n v="136.4"/>
    <x v="23"/>
    <x v="19"/>
    <x v="2"/>
    <x v="3"/>
    <x v="0"/>
    <x v="0"/>
    <x v="3"/>
    <x v="1"/>
    <x v="3"/>
    <x v="2"/>
  </r>
  <r>
    <s v="TX500559"/>
    <x v="1"/>
    <x v="0"/>
    <n v="40.299999999999997"/>
    <n v="40.299999999999997"/>
    <x v="23"/>
    <x v="17"/>
    <x v="1"/>
    <x v="0"/>
    <x v="1"/>
    <x v="0"/>
    <x v="3"/>
    <x v="3"/>
    <x v="3"/>
    <x v="1"/>
  </r>
  <r>
    <s v="TX500560"/>
    <x v="2"/>
    <x v="2"/>
    <n v="91.3"/>
    <n v="273.89999999999998"/>
    <x v="23"/>
    <x v="28"/>
    <x v="1"/>
    <x v="0"/>
    <x v="2"/>
    <x v="0"/>
    <x v="6"/>
    <x v="0"/>
    <x v="3"/>
    <x v="1"/>
  </r>
  <r>
    <s v="TX500561"/>
    <x v="0"/>
    <x v="2"/>
    <n v="11.9"/>
    <n v="35.700000000000003"/>
    <x v="23"/>
    <x v="17"/>
    <x v="2"/>
    <x v="0"/>
    <x v="1"/>
    <x v="0"/>
    <x v="6"/>
    <x v="3"/>
    <x v="3"/>
    <x v="2"/>
  </r>
  <r>
    <s v="TX500562"/>
    <x v="2"/>
    <x v="1"/>
    <n v="63.5"/>
    <n v="127"/>
    <x v="23"/>
    <x v="19"/>
    <x v="1"/>
    <x v="1"/>
    <x v="0"/>
    <x v="0"/>
    <x v="6"/>
    <x v="1"/>
    <x v="3"/>
    <x v="1"/>
  </r>
  <r>
    <s v="TX500563"/>
    <x v="4"/>
    <x v="1"/>
    <n v="27.1"/>
    <n v="54.2"/>
    <x v="23"/>
    <x v="22"/>
    <x v="1"/>
    <x v="2"/>
    <x v="2"/>
    <x v="0"/>
    <x v="6"/>
    <x v="2"/>
    <x v="3"/>
    <x v="1"/>
  </r>
  <r>
    <s v="TX500564"/>
    <x v="1"/>
    <x v="1"/>
    <n v="82.1"/>
    <n v="164.2"/>
    <x v="24"/>
    <x v="29"/>
    <x v="1"/>
    <x v="1"/>
    <x v="1"/>
    <x v="0"/>
    <x v="7"/>
    <x v="2"/>
    <x v="3"/>
    <x v="1"/>
  </r>
  <r>
    <s v="TX500565"/>
    <x v="3"/>
    <x v="9"/>
    <n v="42.9"/>
    <n v="214.5"/>
    <x v="24"/>
    <x v="22"/>
    <x v="2"/>
    <x v="1"/>
    <x v="0"/>
    <x v="0"/>
    <x v="8"/>
    <x v="1"/>
    <x v="3"/>
    <x v="2"/>
  </r>
  <r>
    <s v="TX500566"/>
    <x v="8"/>
    <x v="5"/>
    <n v="37.9"/>
    <n v="416.9"/>
    <x v="24"/>
    <x v="30"/>
    <x v="1"/>
    <x v="0"/>
    <x v="0"/>
    <x v="0"/>
    <x v="8"/>
    <x v="6"/>
    <x v="3"/>
    <x v="1"/>
  </r>
  <r>
    <s v="TX500567"/>
    <x v="0"/>
    <x v="0"/>
    <n v="22.4"/>
    <n v="22.4"/>
    <x v="24"/>
    <x v="19"/>
    <x v="2"/>
    <x v="0"/>
    <x v="1"/>
    <x v="0"/>
    <x v="17"/>
    <x v="3"/>
    <x v="3"/>
    <x v="2"/>
  </r>
  <r>
    <s v="TX500568"/>
    <x v="2"/>
    <x v="15"/>
    <n v="79.900000000000006"/>
    <n v="1038.7"/>
    <x v="24"/>
    <x v="31"/>
    <x v="2"/>
    <x v="3"/>
    <x v="1"/>
    <x v="0"/>
    <x v="11"/>
    <x v="10"/>
    <x v="3"/>
    <x v="2"/>
  </r>
  <r>
    <s v="TX500569"/>
    <x v="1"/>
    <x v="0"/>
    <n v="70.599999999999994"/>
    <n v="70.599999999999994"/>
    <x v="24"/>
    <x v="29"/>
    <x v="2"/>
    <x v="0"/>
    <x v="1"/>
    <x v="0"/>
    <x v="11"/>
    <x v="2"/>
    <x v="3"/>
    <x v="2"/>
  </r>
  <r>
    <s v="TX500570"/>
    <x v="6"/>
    <x v="0"/>
    <n v="49.5"/>
    <n v="49.5"/>
    <x v="24"/>
    <x v="22"/>
    <x v="1"/>
    <x v="0"/>
    <x v="0"/>
    <x v="0"/>
    <x v="13"/>
    <x v="1"/>
    <x v="3"/>
    <x v="1"/>
  </r>
  <r>
    <s v="TX500571"/>
    <x v="2"/>
    <x v="1"/>
    <n v="96.6"/>
    <n v="193.2"/>
    <x v="24"/>
    <x v="22"/>
    <x v="1"/>
    <x v="0"/>
    <x v="0"/>
    <x v="0"/>
    <x v="21"/>
    <x v="1"/>
    <x v="3"/>
    <x v="1"/>
  </r>
  <r>
    <s v="TX500572"/>
    <x v="6"/>
    <x v="1"/>
    <n v="52.8"/>
    <n v="105.6"/>
    <x v="24"/>
    <x v="19"/>
    <x v="2"/>
    <x v="1"/>
    <x v="1"/>
    <x v="0"/>
    <x v="21"/>
    <x v="3"/>
    <x v="3"/>
    <x v="2"/>
  </r>
  <r>
    <s v="TX500573"/>
    <x v="2"/>
    <x v="0"/>
    <n v="101.7"/>
    <n v="101.7"/>
    <x v="24"/>
    <x v="19"/>
    <x v="1"/>
    <x v="0"/>
    <x v="0"/>
    <x v="0"/>
    <x v="1"/>
    <x v="3"/>
    <x v="3"/>
    <x v="1"/>
  </r>
  <r>
    <s v="TX500574"/>
    <x v="4"/>
    <x v="9"/>
    <n v="26.9"/>
    <n v="134.5"/>
    <x v="24"/>
    <x v="26"/>
    <x v="2"/>
    <x v="1"/>
    <x v="1"/>
    <x v="0"/>
    <x v="22"/>
    <x v="0"/>
    <x v="3"/>
    <x v="2"/>
  </r>
  <r>
    <s v="TX500575"/>
    <x v="2"/>
    <x v="12"/>
    <n v="211"/>
    <n v="844"/>
    <x v="24"/>
    <x v="17"/>
    <x v="2"/>
    <x v="1"/>
    <x v="1"/>
    <x v="0"/>
    <x v="3"/>
    <x v="7"/>
    <x v="3"/>
    <x v="2"/>
  </r>
  <r>
    <s v="TX500576"/>
    <x v="0"/>
    <x v="12"/>
    <n v="21.1"/>
    <n v="84.4"/>
    <x v="24"/>
    <x v="29"/>
    <x v="1"/>
    <x v="4"/>
    <x v="0"/>
    <x v="0"/>
    <x v="3"/>
    <x v="2"/>
    <x v="3"/>
    <x v="1"/>
  </r>
  <r>
    <s v="TX500577"/>
    <x v="10"/>
    <x v="0"/>
    <n v="26.6"/>
    <n v="26.6"/>
    <x v="24"/>
    <x v="22"/>
    <x v="1"/>
    <x v="0"/>
    <x v="4"/>
    <x v="0"/>
    <x v="3"/>
    <x v="1"/>
    <x v="3"/>
    <x v="1"/>
  </r>
  <r>
    <s v="TX500578"/>
    <x v="12"/>
    <x v="12"/>
    <n v="51.2"/>
    <n v="204.8"/>
    <x v="24"/>
    <x v="19"/>
    <x v="2"/>
    <x v="3"/>
    <x v="0"/>
    <x v="0"/>
    <x v="47"/>
    <x v="3"/>
    <x v="3"/>
    <x v="2"/>
  </r>
  <r>
    <s v="TX500579"/>
    <x v="0"/>
    <x v="9"/>
    <n v="10.6"/>
    <n v="53"/>
    <x v="24"/>
    <x v="28"/>
    <x v="2"/>
    <x v="0"/>
    <x v="0"/>
    <x v="0"/>
    <x v="8"/>
    <x v="5"/>
    <x v="3"/>
    <x v="2"/>
  </r>
  <r>
    <s v="TX500580"/>
    <x v="6"/>
    <x v="2"/>
    <n v="43.4"/>
    <n v="130.19999999999999"/>
    <x v="24"/>
    <x v="29"/>
    <x v="2"/>
    <x v="4"/>
    <x v="0"/>
    <x v="0"/>
    <x v="8"/>
    <x v="2"/>
    <x v="3"/>
    <x v="2"/>
  </r>
  <r>
    <s v="TX500581"/>
    <x v="12"/>
    <x v="0"/>
    <n v="80"/>
    <n v="80"/>
    <x v="24"/>
    <x v="17"/>
    <x v="2"/>
    <x v="0"/>
    <x v="2"/>
    <x v="0"/>
    <x v="8"/>
    <x v="7"/>
    <x v="3"/>
    <x v="2"/>
  </r>
  <r>
    <s v="TX500582"/>
    <x v="10"/>
    <x v="12"/>
    <n v="64.7"/>
    <n v="258.8"/>
    <x v="24"/>
    <x v="22"/>
    <x v="2"/>
    <x v="1"/>
    <x v="4"/>
    <x v="0"/>
    <x v="8"/>
    <x v="1"/>
    <x v="3"/>
    <x v="2"/>
  </r>
  <r>
    <s v="TX500583"/>
    <x v="8"/>
    <x v="5"/>
    <n v="26.3"/>
    <n v="289.3"/>
    <x v="25"/>
    <x v="19"/>
    <x v="2"/>
    <x v="4"/>
    <x v="1"/>
    <x v="0"/>
    <x v="26"/>
    <x v="7"/>
    <x v="4"/>
    <x v="2"/>
  </r>
  <r>
    <s v="TX500584"/>
    <x v="10"/>
    <x v="0"/>
    <n v="28.5"/>
    <n v="28.5"/>
    <x v="25"/>
    <x v="19"/>
    <x v="1"/>
    <x v="0"/>
    <x v="1"/>
    <x v="0"/>
    <x v="9"/>
    <x v="7"/>
    <x v="4"/>
    <x v="1"/>
  </r>
  <r>
    <s v="TX500585"/>
    <x v="17"/>
    <x v="0"/>
    <n v="47.8"/>
    <n v="47.8"/>
    <x v="25"/>
    <x v="29"/>
    <x v="2"/>
    <x v="0"/>
    <x v="1"/>
    <x v="0"/>
    <x v="9"/>
    <x v="1"/>
    <x v="4"/>
    <x v="2"/>
  </r>
  <r>
    <s v="TX500586"/>
    <x v="10"/>
    <x v="2"/>
    <n v="42.8"/>
    <n v="128.39999999999998"/>
    <x v="25"/>
    <x v="28"/>
    <x v="2"/>
    <x v="4"/>
    <x v="1"/>
    <x v="0"/>
    <x v="11"/>
    <x v="2"/>
    <x v="4"/>
    <x v="2"/>
  </r>
  <r>
    <s v="TX500587"/>
    <x v="6"/>
    <x v="9"/>
    <n v="46.8"/>
    <n v="234"/>
    <x v="25"/>
    <x v="27"/>
    <x v="2"/>
    <x v="1"/>
    <x v="2"/>
    <x v="0"/>
    <x v="11"/>
    <x v="0"/>
    <x v="4"/>
    <x v="2"/>
  </r>
  <r>
    <s v="TX500588"/>
    <x v="1"/>
    <x v="7"/>
    <n v="64.099999999999994"/>
    <n v="641"/>
    <x v="25"/>
    <x v="22"/>
    <x v="1"/>
    <x v="1"/>
    <x v="0"/>
    <x v="0"/>
    <x v="11"/>
    <x v="3"/>
    <x v="4"/>
    <x v="1"/>
  </r>
  <r>
    <s v="TX500589"/>
    <x v="2"/>
    <x v="0"/>
    <n v="89.1"/>
    <n v="89.1"/>
    <x v="25"/>
    <x v="22"/>
    <x v="2"/>
    <x v="0"/>
    <x v="1"/>
    <x v="0"/>
    <x v="20"/>
    <x v="3"/>
    <x v="4"/>
    <x v="2"/>
  </r>
  <r>
    <s v="TX500590"/>
    <x v="2"/>
    <x v="2"/>
    <n v="83.1"/>
    <n v="249.29999999999998"/>
    <x v="25"/>
    <x v="22"/>
    <x v="2"/>
    <x v="2"/>
    <x v="1"/>
    <x v="0"/>
    <x v="13"/>
    <x v="3"/>
    <x v="4"/>
    <x v="2"/>
  </r>
  <r>
    <s v="TX500591"/>
    <x v="8"/>
    <x v="2"/>
    <n v="40.9"/>
    <n v="122.69999999999999"/>
    <x v="25"/>
    <x v="22"/>
    <x v="1"/>
    <x v="0"/>
    <x v="0"/>
    <x v="0"/>
    <x v="1"/>
    <x v="3"/>
    <x v="4"/>
    <x v="1"/>
  </r>
  <r>
    <s v="TX500592"/>
    <x v="2"/>
    <x v="1"/>
    <n v="125.7"/>
    <n v="251.4"/>
    <x v="25"/>
    <x v="22"/>
    <x v="2"/>
    <x v="3"/>
    <x v="0"/>
    <x v="0"/>
    <x v="2"/>
    <x v="3"/>
    <x v="4"/>
    <x v="2"/>
  </r>
  <r>
    <s v="TX500593"/>
    <x v="3"/>
    <x v="1"/>
    <n v="30.9"/>
    <n v="61.8"/>
    <x v="25"/>
    <x v="19"/>
    <x v="2"/>
    <x v="2"/>
    <x v="2"/>
    <x v="0"/>
    <x v="22"/>
    <x v="7"/>
    <x v="4"/>
    <x v="2"/>
  </r>
  <r>
    <s v="TX500594"/>
    <x v="8"/>
    <x v="1"/>
    <n v="18.3"/>
    <n v="36.6"/>
    <x v="25"/>
    <x v="22"/>
    <x v="2"/>
    <x v="1"/>
    <x v="0"/>
    <x v="0"/>
    <x v="3"/>
    <x v="3"/>
    <x v="4"/>
    <x v="2"/>
  </r>
  <r>
    <s v="TX500595"/>
    <x v="4"/>
    <x v="1"/>
    <n v="56.5"/>
    <n v="113"/>
    <x v="25"/>
    <x v="26"/>
    <x v="1"/>
    <x v="2"/>
    <x v="2"/>
    <x v="0"/>
    <x v="3"/>
    <x v="5"/>
    <x v="4"/>
    <x v="1"/>
  </r>
  <r>
    <s v="TX500596"/>
    <x v="10"/>
    <x v="3"/>
    <n v="29.9"/>
    <n v="209.29999999999998"/>
    <x v="25"/>
    <x v="29"/>
    <x v="1"/>
    <x v="4"/>
    <x v="2"/>
    <x v="0"/>
    <x v="3"/>
    <x v="1"/>
    <x v="4"/>
    <x v="1"/>
  </r>
  <r>
    <s v="TX500597"/>
    <x v="5"/>
    <x v="1"/>
    <n v="50.4"/>
    <n v="100.8"/>
    <x v="25"/>
    <x v="22"/>
    <x v="2"/>
    <x v="2"/>
    <x v="0"/>
    <x v="0"/>
    <x v="3"/>
    <x v="3"/>
    <x v="4"/>
    <x v="2"/>
  </r>
  <r>
    <s v="TX500598"/>
    <x v="2"/>
    <x v="0"/>
    <n v="85.8"/>
    <n v="85.8"/>
    <x v="25"/>
    <x v="19"/>
    <x v="2"/>
    <x v="2"/>
    <x v="2"/>
    <x v="0"/>
    <x v="3"/>
    <x v="7"/>
    <x v="4"/>
    <x v="2"/>
  </r>
  <r>
    <s v="TX500599"/>
    <x v="4"/>
    <x v="27"/>
    <n v="66.599999999999994"/>
    <n v="1065.5999999999999"/>
    <x v="25"/>
    <x v="29"/>
    <x v="1"/>
    <x v="1"/>
    <x v="0"/>
    <x v="0"/>
    <x v="3"/>
    <x v="1"/>
    <x v="4"/>
    <x v="1"/>
  </r>
  <r>
    <s v="TX500600"/>
    <x v="6"/>
    <x v="12"/>
    <n v="70.3"/>
    <n v="281.2"/>
    <x v="25"/>
    <x v="22"/>
    <x v="2"/>
    <x v="0"/>
    <x v="1"/>
    <x v="0"/>
    <x v="3"/>
    <x v="3"/>
    <x v="4"/>
    <x v="2"/>
  </r>
  <r>
    <s v="TX500601"/>
    <x v="8"/>
    <x v="12"/>
    <n v="31"/>
    <n v="124"/>
    <x v="25"/>
    <x v="28"/>
    <x v="1"/>
    <x v="0"/>
    <x v="2"/>
    <x v="0"/>
    <x v="3"/>
    <x v="2"/>
    <x v="4"/>
    <x v="1"/>
  </r>
  <r>
    <s v="TX500602"/>
    <x v="7"/>
    <x v="13"/>
    <n v="81.599999999999994"/>
    <n v="489.59999999999997"/>
    <x v="25"/>
    <x v="22"/>
    <x v="2"/>
    <x v="1"/>
    <x v="1"/>
    <x v="0"/>
    <x v="37"/>
    <x v="3"/>
    <x v="4"/>
    <x v="2"/>
  </r>
  <r>
    <s v="TX500603"/>
    <x v="1"/>
    <x v="30"/>
    <n v="58.3"/>
    <n v="1457.5"/>
    <x v="25"/>
    <x v="22"/>
    <x v="2"/>
    <x v="0"/>
    <x v="0"/>
    <x v="0"/>
    <x v="16"/>
    <x v="3"/>
    <x v="4"/>
    <x v="2"/>
  </r>
  <r>
    <s v="TX500604"/>
    <x v="1"/>
    <x v="12"/>
    <n v="35.1"/>
    <n v="140.4"/>
    <x v="25"/>
    <x v="29"/>
    <x v="1"/>
    <x v="0"/>
    <x v="2"/>
    <x v="0"/>
    <x v="8"/>
    <x v="1"/>
    <x v="4"/>
    <x v="1"/>
  </r>
  <r>
    <s v="TX500605"/>
    <x v="2"/>
    <x v="0"/>
    <n v="80.2"/>
    <n v="80.2"/>
    <x v="25"/>
    <x v="22"/>
    <x v="1"/>
    <x v="3"/>
    <x v="2"/>
    <x v="0"/>
    <x v="8"/>
    <x v="3"/>
    <x v="4"/>
    <x v="1"/>
  </r>
  <r>
    <s v="TX500606"/>
    <x v="14"/>
    <x v="2"/>
    <n v="39.200000000000003"/>
    <n v="117.60000000000001"/>
    <x v="25"/>
    <x v="29"/>
    <x v="2"/>
    <x v="1"/>
    <x v="0"/>
    <x v="0"/>
    <x v="9"/>
    <x v="1"/>
    <x v="4"/>
    <x v="2"/>
  </r>
  <r>
    <s v="TX500607"/>
    <x v="0"/>
    <x v="1"/>
    <n v="15.4"/>
    <n v="30.8"/>
    <x v="25"/>
    <x v="19"/>
    <x v="2"/>
    <x v="3"/>
    <x v="0"/>
    <x v="0"/>
    <x v="48"/>
    <x v="7"/>
    <x v="4"/>
    <x v="2"/>
  </r>
  <r>
    <s v="TX500608"/>
    <x v="3"/>
    <x v="2"/>
    <n v="65.400000000000006"/>
    <n v="196.20000000000002"/>
    <x v="25"/>
    <x v="28"/>
    <x v="1"/>
    <x v="3"/>
    <x v="0"/>
    <x v="0"/>
    <x v="18"/>
    <x v="2"/>
    <x v="4"/>
    <x v="1"/>
  </r>
  <r>
    <s v="TX500609"/>
    <x v="1"/>
    <x v="8"/>
    <n v="63.2"/>
    <n v="505.6"/>
    <x v="25"/>
    <x v="29"/>
    <x v="2"/>
    <x v="1"/>
    <x v="0"/>
    <x v="0"/>
    <x v="19"/>
    <x v="1"/>
    <x v="4"/>
    <x v="2"/>
  </r>
  <r>
    <s v="TX500610"/>
    <x v="1"/>
    <x v="13"/>
    <n v="35.700000000000003"/>
    <n v="214.20000000000002"/>
    <x v="25"/>
    <x v="26"/>
    <x v="2"/>
    <x v="4"/>
    <x v="1"/>
    <x v="0"/>
    <x v="19"/>
    <x v="5"/>
    <x v="4"/>
    <x v="2"/>
  </r>
  <r>
    <s v="TX500611"/>
    <x v="0"/>
    <x v="28"/>
    <n v="26.2"/>
    <n v="524"/>
    <x v="25"/>
    <x v="22"/>
    <x v="2"/>
    <x v="3"/>
    <x v="0"/>
    <x v="0"/>
    <x v="21"/>
    <x v="3"/>
    <x v="4"/>
    <x v="2"/>
  </r>
  <r>
    <s v="TX500612"/>
    <x v="7"/>
    <x v="1"/>
    <n v="31"/>
    <n v="62"/>
    <x v="25"/>
    <x v="22"/>
    <x v="2"/>
    <x v="0"/>
    <x v="2"/>
    <x v="0"/>
    <x v="1"/>
    <x v="3"/>
    <x v="4"/>
    <x v="2"/>
  </r>
  <r>
    <s v="TX500613"/>
    <x v="8"/>
    <x v="12"/>
    <n v="37.700000000000003"/>
    <n v="150.80000000000001"/>
    <x v="25"/>
    <x v="22"/>
    <x v="2"/>
    <x v="1"/>
    <x v="0"/>
    <x v="0"/>
    <x v="22"/>
    <x v="3"/>
    <x v="4"/>
    <x v="2"/>
  </r>
  <r>
    <s v="TX500614"/>
    <x v="10"/>
    <x v="33"/>
    <n v="43.6"/>
    <n v="1482.4"/>
    <x v="25"/>
    <x v="29"/>
    <x v="2"/>
    <x v="4"/>
    <x v="1"/>
    <x v="0"/>
    <x v="3"/>
    <x v="1"/>
    <x v="4"/>
    <x v="2"/>
  </r>
  <r>
    <s v="TX500615"/>
    <x v="9"/>
    <x v="12"/>
    <n v="26.5"/>
    <n v="106"/>
    <x v="25"/>
    <x v="29"/>
    <x v="1"/>
    <x v="0"/>
    <x v="4"/>
    <x v="0"/>
    <x v="3"/>
    <x v="1"/>
    <x v="4"/>
    <x v="1"/>
  </r>
  <r>
    <s v="TX500616"/>
    <x v="0"/>
    <x v="1"/>
    <n v="34.6"/>
    <n v="69.2"/>
    <x v="25"/>
    <x v="22"/>
    <x v="1"/>
    <x v="4"/>
    <x v="1"/>
    <x v="0"/>
    <x v="3"/>
    <x v="3"/>
    <x v="4"/>
    <x v="1"/>
  </r>
  <r>
    <s v="TX500617"/>
    <x v="8"/>
    <x v="1"/>
    <n v="58.2"/>
    <n v="116.4"/>
    <x v="25"/>
    <x v="22"/>
    <x v="1"/>
    <x v="2"/>
    <x v="2"/>
    <x v="0"/>
    <x v="3"/>
    <x v="3"/>
    <x v="4"/>
    <x v="1"/>
  </r>
  <r>
    <s v="TX500618"/>
    <x v="7"/>
    <x v="0"/>
    <n v="30.2"/>
    <n v="30.2"/>
    <x v="26"/>
    <x v="29"/>
    <x v="2"/>
    <x v="2"/>
    <x v="1"/>
    <x v="0"/>
    <x v="3"/>
    <x v="3"/>
    <x v="4"/>
    <x v="2"/>
  </r>
  <r>
    <s v="TX500619"/>
    <x v="1"/>
    <x v="7"/>
    <n v="53.2"/>
    <n v="532"/>
    <x v="26"/>
    <x v="29"/>
    <x v="1"/>
    <x v="0"/>
    <x v="2"/>
    <x v="0"/>
    <x v="5"/>
    <x v="3"/>
    <x v="4"/>
    <x v="1"/>
  </r>
  <r>
    <s v="TX500620"/>
    <x v="12"/>
    <x v="13"/>
    <n v="51.1"/>
    <n v="306.60000000000002"/>
    <x v="26"/>
    <x v="22"/>
    <x v="1"/>
    <x v="1"/>
    <x v="2"/>
    <x v="0"/>
    <x v="5"/>
    <x v="7"/>
    <x v="4"/>
    <x v="1"/>
  </r>
  <r>
    <s v="TX500621"/>
    <x v="1"/>
    <x v="0"/>
    <n v="105.4"/>
    <n v="105.4"/>
    <x v="26"/>
    <x v="27"/>
    <x v="2"/>
    <x v="1"/>
    <x v="2"/>
    <x v="0"/>
    <x v="23"/>
    <x v="5"/>
    <x v="4"/>
    <x v="2"/>
  </r>
  <r>
    <s v="TX500622"/>
    <x v="7"/>
    <x v="0"/>
    <n v="57.7"/>
    <n v="57.7"/>
    <x v="26"/>
    <x v="22"/>
    <x v="1"/>
    <x v="0"/>
    <x v="4"/>
    <x v="0"/>
    <x v="8"/>
    <x v="7"/>
    <x v="4"/>
    <x v="1"/>
  </r>
  <r>
    <s v="TX500623"/>
    <x v="15"/>
    <x v="1"/>
    <n v="72.400000000000006"/>
    <n v="144.80000000000001"/>
    <x v="26"/>
    <x v="30"/>
    <x v="2"/>
    <x v="0"/>
    <x v="0"/>
    <x v="0"/>
    <x v="17"/>
    <x v="0"/>
    <x v="4"/>
    <x v="2"/>
  </r>
  <r>
    <s v="TX500624"/>
    <x v="6"/>
    <x v="1"/>
    <n v="62.5"/>
    <n v="125"/>
    <x v="26"/>
    <x v="29"/>
    <x v="0"/>
    <x v="0"/>
    <x v="2"/>
    <x v="0"/>
    <x v="11"/>
    <x v="3"/>
    <x v="4"/>
    <x v="0"/>
  </r>
  <r>
    <s v="TX500625"/>
    <x v="0"/>
    <x v="32"/>
    <n v="11.6"/>
    <n v="255.2"/>
    <x v="26"/>
    <x v="28"/>
    <x v="2"/>
    <x v="3"/>
    <x v="2"/>
    <x v="0"/>
    <x v="18"/>
    <x v="1"/>
    <x v="4"/>
    <x v="2"/>
  </r>
  <r>
    <s v="TX500626"/>
    <x v="10"/>
    <x v="7"/>
    <n v="39.6"/>
    <n v="396"/>
    <x v="26"/>
    <x v="28"/>
    <x v="2"/>
    <x v="2"/>
    <x v="2"/>
    <x v="0"/>
    <x v="18"/>
    <x v="1"/>
    <x v="4"/>
    <x v="2"/>
  </r>
  <r>
    <s v="TX500627"/>
    <x v="8"/>
    <x v="1"/>
    <n v="40.1"/>
    <n v="80.2"/>
    <x v="26"/>
    <x v="29"/>
    <x v="2"/>
    <x v="2"/>
    <x v="0"/>
    <x v="0"/>
    <x v="18"/>
    <x v="3"/>
    <x v="4"/>
    <x v="2"/>
  </r>
  <r>
    <s v="TX500628"/>
    <x v="8"/>
    <x v="2"/>
    <n v="18.600000000000001"/>
    <n v="55.800000000000004"/>
    <x v="26"/>
    <x v="29"/>
    <x v="2"/>
    <x v="2"/>
    <x v="0"/>
    <x v="0"/>
    <x v="21"/>
    <x v="3"/>
    <x v="4"/>
    <x v="2"/>
  </r>
  <r>
    <s v="TX500629"/>
    <x v="4"/>
    <x v="0"/>
    <n v="58.8"/>
    <n v="58.8"/>
    <x v="26"/>
    <x v="28"/>
    <x v="2"/>
    <x v="0"/>
    <x v="1"/>
    <x v="0"/>
    <x v="21"/>
    <x v="1"/>
    <x v="4"/>
    <x v="2"/>
  </r>
  <r>
    <s v="TX500630"/>
    <x v="8"/>
    <x v="1"/>
    <n v="22.1"/>
    <n v="44.2"/>
    <x v="26"/>
    <x v="26"/>
    <x v="1"/>
    <x v="1"/>
    <x v="2"/>
    <x v="0"/>
    <x v="21"/>
    <x v="2"/>
    <x v="4"/>
    <x v="1"/>
  </r>
  <r>
    <s v="TX500631"/>
    <x v="2"/>
    <x v="0"/>
    <n v="114.9"/>
    <n v="114.9"/>
    <x v="27"/>
    <x v="28"/>
    <x v="2"/>
    <x v="1"/>
    <x v="1"/>
    <x v="0"/>
    <x v="22"/>
    <x v="3"/>
    <x v="4"/>
    <x v="2"/>
  </r>
  <r>
    <s v="TX500632"/>
    <x v="9"/>
    <x v="9"/>
    <n v="75.8"/>
    <n v="379"/>
    <x v="27"/>
    <x v="28"/>
    <x v="1"/>
    <x v="0"/>
    <x v="2"/>
    <x v="0"/>
    <x v="3"/>
    <x v="3"/>
    <x v="4"/>
    <x v="1"/>
  </r>
  <r>
    <s v="TX500633"/>
    <x v="14"/>
    <x v="9"/>
    <n v="20.6"/>
    <n v="103"/>
    <x v="27"/>
    <x v="28"/>
    <x v="1"/>
    <x v="2"/>
    <x v="2"/>
    <x v="0"/>
    <x v="3"/>
    <x v="3"/>
    <x v="4"/>
    <x v="1"/>
  </r>
  <r>
    <s v="TX500634"/>
    <x v="17"/>
    <x v="2"/>
    <n v="67.900000000000006"/>
    <n v="203.70000000000002"/>
    <x v="27"/>
    <x v="28"/>
    <x v="2"/>
    <x v="1"/>
    <x v="1"/>
    <x v="0"/>
    <x v="3"/>
    <x v="3"/>
    <x v="4"/>
    <x v="2"/>
  </r>
  <r>
    <s v="TX500635"/>
    <x v="0"/>
    <x v="9"/>
    <n v="27"/>
    <n v="135"/>
    <x v="27"/>
    <x v="32"/>
    <x v="2"/>
    <x v="0"/>
    <x v="2"/>
    <x v="0"/>
    <x v="3"/>
    <x v="6"/>
    <x v="4"/>
    <x v="2"/>
  </r>
  <r>
    <s v="TX500636"/>
    <x v="13"/>
    <x v="0"/>
    <n v="50.6"/>
    <n v="50.6"/>
    <x v="27"/>
    <x v="29"/>
    <x v="1"/>
    <x v="0"/>
    <x v="1"/>
    <x v="0"/>
    <x v="3"/>
    <x v="7"/>
    <x v="4"/>
    <x v="1"/>
  </r>
  <r>
    <s v="TX500637"/>
    <x v="4"/>
    <x v="9"/>
    <n v="22.1"/>
    <n v="110.5"/>
    <x v="27"/>
    <x v="33"/>
    <x v="1"/>
    <x v="0"/>
    <x v="0"/>
    <x v="0"/>
    <x v="3"/>
    <x v="0"/>
    <x v="4"/>
    <x v="1"/>
  </r>
  <r>
    <s v="TX500638"/>
    <x v="8"/>
    <x v="2"/>
    <n v="42.9"/>
    <n v="128.69999999999999"/>
    <x v="27"/>
    <x v="26"/>
    <x v="2"/>
    <x v="0"/>
    <x v="0"/>
    <x v="0"/>
    <x v="3"/>
    <x v="1"/>
    <x v="4"/>
    <x v="2"/>
  </r>
  <r>
    <s v="TX500639"/>
    <x v="1"/>
    <x v="5"/>
    <n v="62.4"/>
    <n v="686.4"/>
    <x v="27"/>
    <x v="26"/>
    <x v="2"/>
    <x v="2"/>
    <x v="0"/>
    <x v="0"/>
    <x v="3"/>
    <x v="1"/>
    <x v="4"/>
    <x v="2"/>
  </r>
  <r>
    <s v="TX500640"/>
    <x v="13"/>
    <x v="11"/>
    <n v="36.4"/>
    <n v="327.59999999999997"/>
    <x v="27"/>
    <x v="26"/>
    <x v="2"/>
    <x v="0"/>
    <x v="2"/>
    <x v="0"/>
    <x v="3"/>
    <x v="1"/>
    <x v="4"/>
    <x v="2"/>
  </r>
  <r>
    <s v="TX500641"/>
    <x v="0"/>
    <x v="1"/>
    <n v="22.5"/>
    <n v="45"/>
    <x v="27"/>
    <x v="27"/>
    <x v="1"/>
    <x v="0"/>
    <x v="0"/>
    <x v="0"/>
    <x v="3"/>
    <x v="2"/>
    <x v="4"/>
    <x v="1"/>
  </r>
  <r>
    <s v="TX500642"/>
    <x v="6"/>
    <x v="12"/>
    <n v="70.8"/>
    <n v="283.2"/>
    <x v="27"/>
    <x v="26"/>
    <x v="2"/>
    <x v="4"/>
    <x v="0"/>
    <x v="0"/>
    <x v="3"/>
    <x v="1"/>
    <x v="4"/>
    <x v="2"/>
  </r>
  <r>
    <s v="TX500643"/>
    <x v="6"/>
    <x v="9"/>
    <n v="56.6"/>
    <n v="283"/>
    <x v="27"/>
    <x v="26"/>
    <x v="1"/>
    <x v="0"/>
    <x v="1"/>
    <x v="0"/>
    <x v="4"/>
    <x v="1"/>
    <x v="4"/>
    <x v="1"/>
  </r>
  <r>
    <s v="TX500644"/>
    <x v="6"/>
    <x v="1"/>
    <n v="47.9"/>
    <n v="95.8"/>
    <x v="27"/>
    <x v="28"/>
    <x v="2"/>
    <x v="0"/>
    <x v="0"/>
    <x v="0"/>
    <x v="6"/>
    <x v="3"/>
    <x v="4"/>
    <x v="2"/>
  </r>
  <r>
    <s v="TX500645"/>
    <x v="6"/>
    <x v="8"/>
    <n v="78.400000000000006"/>
    <n v="627.20000000000005"/>
    <x v="27"/>
    <x v="26"/>
    <x v="2"/>
    <x v="1"/>
    <x v="0"/>
    <x v="0"/>
    <x v="6"/>
    <x v="1"/>
    <x v="4"/>
    <x v="2"/>
  </r>
  <r>
    <s v="TX500646"/>
    <x v="2"/>
    <x v="21"/>
    <n v="122.1"/>
    <n v="1709.3999999999999"/>
    <x v="27"/>
    <x v="33"/>
    <x v="2"/>
    <x v="0"/>
    <x v="2"/>
    <x v="0"/>
    <x v="6"/>
    <x v="0"/>
    <x v="4"/>
    <x v="2"/>
  </r>
  <r>
    <s v="TX500647"/>
    <x v="2"/>
    <x v="1"/>
    <n v="83.7"/>
    <n v="167.4"/>
    <x v="28"/>
    <x v="28"/>
    <x v="0"/>
    <x v="1"/>
    <x v="2"/>
    <x v="0"/>
    <x v="7"/>
    <x v="7"/>
    <x v="4"/>
    <x v="0"/>
  </r>
  <r>
    <s v="TX500648"/>
    <x v="3"/>
    <x v="12"/>
    <n v="97.9"/>
    <n v="391.6"/>
    <x v="28"/>
    <x v="33"/>
    <x v="2"/>
    <x v="3"/>
    <x v="2"/>
    <x v="0"/>
    <x v="7"/>
    <x v="5"/>
    <x v="4"/>
    <x v="2"/>
  </r>
  <r>
    <s v="TX500649"/>
    <x v="14"/>
    <x v="0"/>
    <n v="15"/>
    <n v="15"/>
    <x v="28"/>
    <x v="34"/>
    <x v="2"/>
    <x v="3"/>
    <x v="0"/>
    <x v="0"/>
    <x v="8"/>
    <x v="0"/>
    <x v="4"/>
    <x v="2"/>
  </r>
  <r>
    <s v="TX500650"/>
    <x v="12"/>
    <x v="2"/>
    <n v="94.6"/>
    <n v="283.79999999999995"/>
    <x v="28"/>
    <x v="26"/>
    <x v="1"/>
    <x v="2"/>
    <x v="1"/>
    <x v="0"/>
    <x v="8"/>
    <x v="3"/>
    <x v="4"/>
    <x v="1"/>
  </r>
  <r>
    <s v="TX500651"/>
    <x v="0"/>
    <x v="13"/>
    <n v="19.7"/>
    <n v="118.19999999999999"/>
    <x v="28"/>
    <x v="35"/>
    <x v="2"/>
    <x v="0"/>
    <x v="2"/>
    <x v="0"/>
    <x v="8"/>
    <x v="11"/>
    <x v="4"/>
    <x v="2"/>
  </r>
  <r>
    <s v="TX500652"/>
    <x v="7"/>
    <x v="0"/>
    <n v="46.7"/>
    <n v="46.7"/>
    <x v="28"/>
    <x v="30"/>
    <x v="2"/>
    <x v="2"/>
    <x v="0"/>
    <x v="0"/>
    <x v="17"/>
    <x v="2"/>
    <x v="4"/>
    <x v="2"/>
  </r>
  <r>
    <s v="TX500653"/>
    <x v="1"/>
    <x v="12"/>
    <n v="43"/>
    <n v="172"/>
    <x v="28"/>
    <x v="26"/>
    <x v="1"/>
    <x v="2"/>
    <x v="2"/>
    <x v="0"/>
    <x v="17"/>
    <x v="3"/>
    <x v="4"/>
    <x v="1"/>
  </r>
  <r>
    <s v="TX500654"/>
    <x v="6"/>
    <x v="2"/>
    <n v="68.2"/>
    <n v="204.60000000000002"/>
    <x v="28"/>
    <x v="32"/>
    <x v="2"/>
    <x v="0"/>
    <x v="0"/>
    <x v="0"/>
    <x v="9"/>
    <x v="4"/>
    <x v="4"/>
    <x v="2"/>
  </r>
  <r>
    <s v="TX500655"/>
    <x v="10"/>
    <x v="7"/>
    <n v="24.3"/>
    <n v="243"/>
    <x v="28"/>
    <x v="26"/>
    <x v="1"/>
    <x v="0"/>
    <x v="2"/>
    <x v="0"/>
    <x v="10"/>
    <x v="3"/>
    <x v="4"/>
    <x v="1"/>
  </r>
  <r>
    <s v="TX500656"/>
    <x v="7"/>
    <x v="1"/>
    <n v="86.8"/>
    <n v="173.6"/>
    <x v="28"/>
    <x v="33"/>
    <x v="2"/>
    <x v="4"/>
    <x v="2"/>
    <x v="0"/>
    <x v="11"/>
    <x v="5"/>
    <x v="4"/>
    <x v="2"/>
  </r>
  <r>
    <s v="TX500657"/>
    <x v="0"/>
    <x v="1"/>
    <n v="15.8"/>
    <n v="31.6"/>
    <x v="28"/>
    <x v="27"/>
    <x v="1"/>
    <x v="1"/>
    <x v="0"/>
    <x v="0"/>
    <x v="11"/>
    <x v="1"/>
    <x v="4"/>
    <x v="1"/>
  </r>
  <r>
    <s v="TX500658"/>
    <x v="2"/>
    <x v="12"/>
    <n v="61.6"/>
    <n v="246.4"/>
    <x v="28"/>
    <x v="26"/>
    <x v="1"/>
    <x v="2"/>
    <x v="0"/>
    <x v="0"/>
    <x v="11"/>
    <x v="3"/>
    <x v="4"/>
    <x v="1"/>
  </r>
  <r>
    <s v="TX500659"/>
    <x v="6"/>
    <x v="2"/>
    <n v="48.7"/>
    <n v="146.10000000000002"/>
    <x v="28"/>
    <x v="32"/>
    <x v="2"/>
    <x v="1"/>
    <x v="2"/>
    <x v="0"/>
    <x v="45"/>
    <x v="4"/>
    <x v="4"/>
    <x v="2"/>
  </r>
  <r>
    <s v="TX500660"/>
    <x v="8"/>
    <x v="12"/>
    <n v="24.3"/>
    <n v="97.2"/>
    <x v="28"/>
    <x v="27"/>
    <x v="2"/>
    <x v="1"/>
    <x v="2"/>
    <x v="0"/>
    <x v="21"/>
    <x v="1"/>
    <x v="4"/>
    <x v="2"/>
  </r>
  <r>
    <s v="TX500661"/>
    <x v="2"/>
    <x v="1"/>
    <n v="130.69999999999999"/>
    <n v="261.39999999999998"/>
    <x v="28"/>
    <x v="26"/>
    <x v="2"/>
    <x v="2"/>
    <x v="0"/>
    <x v="0"/>
    <x v="44"/>
    <x v="3"/>
    <x v="4"/>
    <x v="2"/>
  </r>
  <r>
    <s v="TX500662"/>
    <x v="10"/>
    <x v="0"/>
    <n v="26"/>
    <n v="26"/>
    <x v="28"/>
    <x v="27"/>
    <x v="1"/>
    <x v="0"/>
    <x v="0"/>
    <x v="0"/>
    <x v="3"/>
    <x v="1"/>
    <x v="4"/>
    <x v="1"/>
  </r>
  <r>
    <s v="TX500663"/>
    <x v="2"/>
    <x v="9"/>
    <n v="94.4"/>
    <n v="472"/>
    <x v="28"/>
    <x v="26"/>
    <x v="2"/>
    <x v="0"/>
    <x v="0"/>
    <x v="0"/>
    <x v="3"/>
    <x v="3"/>
    <x v="4"/>
    <x v="2"/>
  </r>
  <r>
    <s v="TX500664"/>
    <x v="0"/>
    <x v="13"/>
    <n v="23.7"/>
    <n v="142.19999999999999"/>
    <x v="28"/>
    <x v="27"/>
    <x v="1"/>
    <x v="2"/>
    <x v="2"/>
    <x v="0"/>
    <x v="3"/>
    <x v="1"/>
    <x v="4"/>
    <x v="1"/>
  </r>
  <r>
    <s v="TX500665"/>
    <x v="9"/>
    <x v="4"/>
    <n v="37.4"/>
    <n v="448.79999999999995"/>
    <x v="28"/>
    <x v="27"/>
    <x v="1"/>
    <x v="2"/>
    <x v="0"/>
    <x v="0"/>
    <x v="3"/>
    <x v="1"/>
    <x v="4"/>
    <x v="1"/>
  </r>
  <r>
    <s v="TX500666"/>
    <x v="1"/>
    <x v="34"/>
    <n v="55.2"/>
    <n v="1987.2"/>
    <x v="28"/>
    <x v="28"/>
    <x v="2"/>
    <x v="3"/>
    <x v="1"/>
    <x v="0"/>
    <x v="3"/>
    <x v="7"/>
    <x v="4"/>
    <x v="2"/>
  </r>
  <r>
    <s v="TX500667"/>
    <x v="2"/>
    <x v="11"/>
    <n v="57.1"/>
    <n v="513.9"/>
    <x v="28"/>
    <x v="27"/>
    <x v="1"/>
    <x v="0"/>
    <x v="2"/>
    <x v="0"/>
    <x v="3"/>
    <x v="1"/>
    <x v="4"/>
    <x v="1"/>
  </r>
  <r>
    <s v="TX500668"/>
    <x v="12"/>
    <x v="0"/>
    <n v="55.3"/>
    <n v="55.3"/>
    <x v="28"/>
    <x v="26"/>
    <x v="2"/>
    <x v="2"/>
    <x v="2"/>
    <x v="0"/>
    <x v="3"/>
    <x v="3"/>
    <x v="4"/>
    <x v="2"/>
  </r>
  <r>
    <s v="TX500669"/>
    <x v="15"/>
    <x v="3"/>
    <n v="23.9"/>
    <n v="167.29999999999998"/>
    <x v="28"/>
    <x v="26"/>
    <x v="2"/>
    <x v="4"/>
    <x v="1"/>
    <x v="0"/>
    <x v="3"/>
    <x v="3"/>
    <x v="4"/>
    <x v="2"/>
  </r>
  <r>
    <s v="TX500670"/>
    <x v="0"/>
    <x v="0"/>
    <n v="34.1"/>
    <n v="34.1"/>
    <x v="28"/>
    <x v="36"/>
    <x v="2"/>
    <x v="2"/>
    <x v="0"/>
    <x v="0"/>
    <x v="3"/>
    <x v="6"/>
    <x v="4"/>
    <x v="2"/>
  </r>
  <r>
    <s v="TX500671"/>
    <x v="12"/>
    <x v="12"/>
    <n v="38.5"/>
    <n v="154"/>
    <x v="28"/>
    <x v="35"/>
    <x v="2"/>
    <x v="0"/>
    <x v="0"/>
    <x v="0"/>
    <x v="3"/>
    <x v="11"/>
    <x v="4"/>
    <x v="2"/>
  </r>
  <r>
    <s v="TX500672"/>
    <x v="7"/>
    <x v="1"/>
    <n v="105"/>
    <n v="210"/>
    <x v="28"/>
    <x v="32"/>
    <x v="2"/>
    <x v="0"/>
    <x v="2"/>
    <x v="0"/>
    <x v="3"/>
    <x v="4"/>
    <x v="4"/>
    <x v="2"/>
  </r>
  <r>
    <s v="TX500673"/>
    <x v="8"/>
    <x v="9"/>
    <n v="45.2"/>
    <n v="226"/>
    <x v="28"/>
    <x v="27"/>
    <x v="2"/>
    <x v="0"/>
    <x v="2"/>
    <x v="0"/>
    <x v="3"/>
    <x v="1"/>
    <x v="4"/>
    <x v="2"/>
  </r>
  <r>
    <s v="TX500674"/>
    <x v="17"/>
    <x v="2"/>
    <n v="24.8"/>
    <n v="74.400000000000006"/>
    <x v="28"/>
    <x v="28"/>
    <x v="0"/>
    <x v="0"/>
    <x v="1"/>
    <x v="0"/>
    <x v="3"/>
    <x v="7"/>
    <x v="4"/>
    <x v="0"/>
  </r>
  <r>
    <s v="TX500675"/>
    <x v="11"/>
    <x v="12"/>
    <n v="43.8"/>
    <n v="175.2"/>
    <x v="28"/>
    <x v="36"/>
    <x v="2"/>
    <x v="1"/>
    <x v="2"/>
    <x v="0"/>
    <x v="6"/>
    <x v="6"/>
    <x v="4"/>
    <x v="2"/>
  </r>
  <r>
    <s v="TX500676"/>
    <x v="1"/>
    <x v="0"/>
    <n v="75"/>
    <n v="75"/>
    <x v="28"/>
    <x v="27"/>
    <x v="2"/>
    <x v="4"/>
    <x v="1"/>
    <x v="0"/>
    <x v="6"/>
    <x v="1"/>
    <x v="4"/>
    <x v="2"/>
  </r>
  <r>
    <s v="TX500677"/>
    <x v="2"/>
    <x v="0"/>
    <n v="169.9"/>
    <n v="169.9"/>
    <x v="28"/>
    <x v="26"/>
    <x v="1"/>
    <x v="2"/>
    <x v="0"/>
    <x v="0"/>
    <x v="6"/>
    <x v="3"/>
    <x v="4"/>
    <x v="1"/>
  </r>
  <r>
    <s v="TX500678"/>
    <x v="9"/>
    <x v="1"/>
    <n v="72.2"/>
    <n v="144.4"/>
    <x v="28"/>
    <x v="27"/>
    <x v="2"/>
    <x v="4"/>
    <x v="1"/>
    <x v="0"/>
    <x v="6"/>
    <x v="1"/>
    <x v="4"/>
    <x v="2"/>
  </r>
  <r>
    <s v="TX500679"/>
    <x v="0"/>
    <x v="0"/>
    <n v="20"/>
    <n v="20"/>
    <x v="29"/>
    <x v="33"/>
    <x v="2"/>
    <x v="2"/>
    <x v="1"/>
    <x v="0"/>
    <x v="7"/>
    <x v="2"/>
    <x v="4"/>
    <x v="2"/>
  </r>
  <r>
    <s v="TX500680"/>
    <x v="9"/>
    <x v="1"/>
    <n v="40.799999999999997"/>
    <n v="81.599999999999994"/>
    <x v="29"/>
    <x v="30"/>
    <x v="2"/>
    <x v="3"/>
    <x v="2"/>
    <x v="0"/>
    <x v="8"/>
    <x v="1"/>
    <x v="4"/>
    <x v="2"/>
  </r>
  <r>
    <s v="TX500681"/>
    <x v="10"/>
    <x v="12"/>
    <n v="58"/>
    <n v="232"/>
    <x v="29"/>
    <x v="34"/>
    <x v="2"/>
    <x v="0"/>
    <x v="0"/>
    <x v="0"/>
    <x v="8"/>
    <x v="5"/>
    <x v="4"/>
    <x v="2"/>
  </r>
  <r>
    <s v="TX500682"/>
    <x v="12"/>
    <x v="1"/>
    <n v="43.1"/>
    <n v="86.2"/>
    <x v="29"/>
    <x v="27"/>
    <x v="2"/>
    <x v="1"/>
    <x v="2"/>
    <x v="0"/>
    <x v="8"/>
    <x v="3"/>
    <x v="4"/>
    <x v="2"/>
  </r>
  <r>
    <s v="TX500683"/>
    <x v="6"/>
    <x v="11"/>
    <n v="74.7"/>
    <n v="672.30000000000007"/>
    <x v="29"/>
    <x v="30"/>
    <x v="1"/>
    <x v="0"/>
    <x v="2"/>
    <x v="0"/>
    <x v="8"/>
    <x v="1"/>
    <x v="4"/>
    <x v="1"/>
  </r>
  <r>
    <s v="TX500684"/>
    <x v="6"/>
    <x v="0"/>
    <n v="128.19999999999999"/>
    <n v="128.19999999999999"/>
    <x v="29"/>
    <x v="26"/>
    <x v="1"/>
    <x v="1"/>
    <x v="0"/>
    <x v="0"/>
    <x v="8"/>
    <x v="7"/>
    <x v="4"/>
    <x v="1"/>
  </r>
  <r>
    <s v="TX500685"/>
    <x v="14"/>
    <x v="12"/>
    <n v="26.7"/>
    <n v="106.8"/>
    <x v="29"/>
    <x v="27"/>
    <x v="1"/>
    <x v="1"/>
    <x v="0"/>
    <x v="0"/>
    <x v="8"/>
    <x v="3"/>
    <x v="4"/>
    <x v="1"/>
  </r>
  <r>
    <s v="TX500686"/>
    <x v="17"/>
    <x v="13"/>
    <n v="31.5"/>
    <n v="189"/>
    <x v="29"/>
    <x v="27"/>
    <x v="2"/>
    <x v="2"/>
    <x v="0"/>
    <x v="0"/>
    <x v="17"/>
    <x v="3"/>
    <x v="4"/>
    <x v="2"/>
  </r>
  <r>
    <s v="TX500687"/>
    <x v="3"/>
    <x v="3"/>
    <n v="64.7"/>
    <n v="452.90000000000003"/>
    <x v="29"/>
    <x v="27"/>
    <x v="2"/>
    <x v="0"/>
    <x v="2"/>
    <x v="0"/>
    <x v="9"/>
    <x v="3"/>
    <x v="4"/>
    <x v="2"/>
  </r>
  <r>
    <s v="TX500688"/>
    <x v="5"/>
    <x v="1"/>
    <n v="55.6"/>
    <n v="111.2"/>
    <x v="29"/>
    <x v="33"/>
    <x v="2"/>
    <x v="3"/>
    <x v="0"/>
    <x v="0"/>
    <x v="11"/>
    <x v="2"/>
    <x v="4"/>
    <x v="2"/>
  </r>
  <r>
    <s v="TX500689"/>
    <x v="3"/>
    <x v="1"/>
    <n v="36.200000000000003"/>
    <n v="72.400000000000006"/>
    <x v="29"/>
    <x v="27"/>
    <x v="2"/>
    <x v="3"/>
    <x v="0"/>
    <x v="0"/>
    <x v="11"/>
    <x v="3"/>
    <x v="4"/>
    <x v="2"/>
  </r>
  <r>
    <s v="TX500690"/>
    <x v="0"/>
    <x v="0"/>
    <n v="26.6"/>
    <n v="26.6"/>
    <x v="29"/>
    <x v="27"/>
    <x v="0"/>
    <x v="1"/>
    <x v="1"/>
    <x v="0"/>
    <x v="19"/>
    <x v="3"/>
    <x v="4"/>
    <x v="0"/>
  </r>
  <r>
    <s v="TX500691"/>
    <x v="10"/>
    <x v="12"/>
    <n v="31.5"/>
    <n v="126"/>
    <x v="29"/>
    <x v="30"/>
    <x v="1"/>
    <x v="0"/>
    <x v="0"/>
    <x v="0"/>
    <x v="31"/>
    <x v="1"/>
    <x v="4"/>
    <x v="1"/>
  </r>
  <r>
    <s v="TX500692"/>
    <x v="10"/>
    <x v="0"/>
    <n v="27"/>
    <n v="27"/>
    <x v="29"/>
    <x v="30"/>
    <x v="2"/>
    <x v="1"/>
    <x v="2"/>
    <x v="0"/>
    <x v="13"/>
    <x v="1"/>
    <x v="4"/>
    <x v="2"/>
  </r>
  <r>
    <s v="TX500693"/>
    <x v="4"/>
    <x v="0"/>
    <n v="32"/>
    <n v="32"/>
    <x v="29"/>
    <x v="33"/>
    <x v="1"/>
    <x v="3"/>
    <x v="0"/>
    <x v="0"/>
    <x v="21"/>
    <x v="2"/>
    <x v="4"/>
    <x v="1"/>
  </r>
  <r>
    <s v="TX500694"/>
    <x v="1"/>
    <x v="2"/>
    <n v="48.1"/>
    <n v="144.30000000000001"/>
    <x v="29"/>
    <x v="30"/>
    <x v="1"/>
    <x v="2"/>
    <x v="1"/>
    <x v="0"/>
    <x v="1"/>
    <x v="1"/>
    <x v="4"/>
    <x v="1"/>
  </r>
  <r>
    <s v="TX500695"/>
    <x v="9"/>
    <x v="1"/>
    <n v="43.4"/>
    <n v="86.8"/>
    <x v="29"/>
    <x v="27"/>
    <x v="1"/>
    <x v="1"/>
    <x v="1"/>
    <x v="0"/>
    <x v="22"/>
    <x v="3"/>
    <x v="4"/>
    <x v="1"/>
  </r>
  <r>
    <s v="TX500696"/>
    <x v="6"/>
    <x v="1"/>
    <n v="42.6"/>
    <n v="85.2"/>
    <x v="29"/>
    <x v="33"/>
    <x v="2"/>
    <x v="3"/>
    <x v="0"/>
    <x v="0"/>
    <x v="22"/>
    <x v="2"/>
    <x v="4"/>
    <x v="2"/>
  </r>
  <r>
    <s v="TX500697"/>
    <x v="8"/>
    <x v="1"/>
    <n v="15.9"/>
    <n v="31.8"/>
    <x v="29"/>
    <x v="27"/>
    <x v="2"/>
    <x v="0"/>
    <x v="0"/>
    <x v="0"/>
    <x v="34"/>
    <x v="3"/>
    <x v="4"/>
    <x v="2"/>
  </r>
  <r>
    <s v="TX500698"/>
    <x v="9"/>
    <x v="1"/>
    <n v="63.2"/>
    <n v="126.4"/>
    <x v="29"/>
    <x v="27"/>
    <x v="1"/>
    <x v="1"/>
    <x v="0"/>
    <x v="0"/>
    <x v="3"/>
    <x v="3"/>
    <x v="4"/>
    <x v="1"/>
  </r>
  <r>
    <s v="TX500699"/>
    <x v="7"/>
    <x v="12"/>
    <n v="64.8"/>
    <n v="259.2"/>
    <x v="29"/>
    <x v="30"/>
    <x v="0"/>
    <x v="4"/>
    <x v="1"/>
    <x v="0"/>
    <x v="3"/>
    <x v="1"/>
    <x v="4"/>
    <x v="0"/>
  </r>
  <r>
    <s v="TX500700"/>
    <x v="7"/>
    <x v="2"/>
    <n v="79.8"/>
    <n v="239.39999999999998"/>
    <x v="29"/>
    <x v="27"/>
    <x v="1"/>
    <x v="0"/>
    <x v="0"/>
    <x v="0"/>
    <x v="3"/>
    <x v="3"/>
    <x v="4"/>
    <x v="1"/>
  </r>
  <r>
    <s v="TX500701"/>
    <x v="9"/>
    <x v="0"/>
    <n v="54.4"/>
    <n v="54.4"/>
    <x v="29"/>
    <x v="30"/>
    <x v="2"/>
    <x v="4"/>
    <x v="2"/>
    <x v="0"/>
    <x v="3"/>
    <x v="1"/>
    <x v="4"/>
    <x v="2"/>
  </r>
  <r>
    <s v="TX500702"/>
    <x v="6"/>
    <x v="0"/>
    <n v="87.3"/>
    <n v="87.3"/>
    <x v="29"/>
    <x v="27"/>
    <x v="1"/>
    <x v="1"/>
    <x v="0"/>
    <x v="0"/>
    <x v="3"/>
    <x v="3"/>
    <x v="4"/>
    <x v="1"/>
  </r>
  <r>
    <s v="TX500703"/>
    <x v="8"/>
    <x v="12"/>
    <n v="32.4"/>
    <n v="129.6"/>
    <x v="29"/>
    <x v="26"/>
    <x v="1"/>
    <x v="1"/>
    <x v="0"/>
    <x v="0"/>
    <x v="3"/>
    <x v="7"/>
    <x v="4"/>
    <x v="1"/>
  </r>
  <r>
    <s v="TX500704"/>
    <x v="2"/>
    <x v="0"/>
    <n v="177.4"/>
    <n v="177.4"/>
    <x v="29"/>
    <x v="34"/>
    <x v="1"/>
    <x v="0"/>
    <x v="2"/>
    <x v="0"/>
    <x v="3"/>
    <x v="5"/>
    <x v="4"/>
    <x v="1"/>
  </r>
  <r>
    <s v="TX500705"/>
    <x v="7"/>
    <x v="1"/>
    <n v="70.099999999999994"/>
    <n v="140.19999999999999"/>
    <x v="29"/>
    <x v="27"/>
    <x v="1"/>
    <x v="3"/>
    <x v="1"/>
    <x v="0"/>
    <x v="3"/>
    <x v="3"/>
    <x v="4"/>
    <x v="1"/>
  </r>
  <r>
    <s v="TX500706"/>
    <x v="9"/>
    <x v="13"/>
    <n v="51.1"/>
    <n v="306.60000000000002"/>
    <x v="29"/>
    <x v="27"/>
    <x v="2"/>
    <x v="0"/>
    <x v="0"/>
    <x v="0"/>
    <x v="3"/>
    <x v="3"/>
    <x v="4"/>
    <x v="2"/>
  </r>
  <r>
    <s v="TX500707"/>
    <x v="2"/>
    <x v="9"/>
    <n v="79.900000000000006"/>
    <n v="399.5"/>
    <x v="29"/>
    <x v="30"/>
    <x v="1"/>
    <x v="3"/>
    <x v="2"/>
    <x v="0"/>
    <x v="24"/>
    <x v="1"/>
    <x v="4"/>
    <x v="1"/>
  </r>
  <r>
    <s v="TX500708"/>
    <x v="6"/>
    <x v="0"/>
    <n v="57.6"/>
    <n v="57.6"/>
    <x v="30"/>
    <x v="36"/>
    <x v="1"/>
    <x v="0"/>
    <x v="2"/>
    <x v="0"/>
    <x v="49"/>
    <x v="0"/>
    <x v="4"/>
    <x v="1"/>
  </r>
  <r>
    <s v="TX500709"/>
    <x v="8"/>
    <x v="7"/>
    <n v="59.7"/>
    <n v="597"/>
    <x v="30"/>
    <x v="32"/>
    <x v="1"/>
    <x v="2"/>
    <x v="0"/>
    <x v="0"/>
    <x v="25"/>
    <x v="5"/>
    <x v="4"/>
    <x v="1"/>
  </r>
  <r>
    <s v="TX500710"/>
    <x v="8"/>
    <x v="9"/>
    <n v="30"/>
    <n v="150"/>
    <x v="30"/>
    <x v="33"/>
    <x v="1"/>
    <x v="1"/>
    <x v="0"/>
    <x v="0"/>
    <x v="6"/>
    <x v="1"/>
    <x v="4"/>
    <x v="1"/>
  </r>
  <r>
    <s v="TX500711"/>
    <x v="10"/>
    <x v="1"/>
    <n v="69.2"/>
    <n v="138.4"/>
    <x v="30"/>
    <x v="33"/>
    <x v="0"/>
    <x v="2"/>
    <x v="1"/>
    <x v="0"/>
    <x v="6"/>
    <x v="1"/>
    <x v="4"/>
    <x v="0"/>
  </r>
  <r>
    <s v="TX500712"/>
    <x v="0"/>
    <x v="8"/>
    <n v="10.9"/>
    <n v="87.2"/>
    <x v="30"/>
    <x v="30"/>
    <x v="2"/>
    <x v="0"/>
    <x v="2"/>
    <x v="0"/>
    <x v="6"/>
    <x v="3"/>
    <x v="4"/>
    <x v="2"/>
  </r>
  <r>
    <s v="TX500713"/>
    <x v="16"/>
    <x v="1"/>
    <n v="48.6"/>
    <n v="97.2"/>
    <x v="30"/>
    <x v="32"/>
    <x v="1"/>
    <x v="1"/>
    <x v="2"/>
    <x v="0"/>
    <x v="6"/>
    <x v="5"/>
    <x v="4"/>
    <x v="1"/>
  </r>
  <r>
    <s v="TX500714"/>
    <x v="2"/>
    <x v="1"/>
    <n v="61.1"/>
    <n v="122.2"/>
    <x v="30"/>
    <x v="34"/>
    <x v="2"/>
    <x v="1"/>
    <x v="2"/>
    <x v="0"/>
    <x v="7"/>
    <x v="2"/>
    <x v="4"/>
    <x v="2"/>
  </r>
  <r>
    <s v="TX500715"/>
    <x v="8"/>
    <x v="1"/>
    <n v="23.2"/>
    <n v="46.4"/>
    <x v="30"/>
    <x v="30"/>
    <x v="1"/>
    <x v="3"/>
    <x v="2"/>
    <x v="0"/>
    <x v="8"/>
    <x v="3"/>
    <x v="4"/>
    <x v="1"/>
  </r>
  <r>
    <s v="TX500716"/>
    <x v="12"/>
    <x v="12"/>
    <n v="55.8"/>
    <n v="223.2"/>
    <x v="30"/>
    <x v="30"/>
    <x v="1"/>
    <x v="0"/>
    <x v="0"/>
    <x v="0"/>
    <x v="8"/>
    <x v="3"/>
    <x v="4"/>
    <x v="1"/>
  </r>
  <r>
    <s v="TX500717"/>
    <x v="9"/>
    <x v="12"/>
    <n v="24.8"/>
    <n v="99.2"/>
    <x v="30"/>
    <x v="30"/>
    <x v="2"/>
    <x v="0"/>
    <x v="2"/>
    <x v="0"/>
    <x v="8"/>
    <x v="3"/>
    <x v="4"/>
    <x v="2"/>
  </r>
  <r>
    <s v="TX500718"/>
    <x v="10"/>
    <x v="1"/>
    <n v="27.9"/>
    <n v="55.8"/>
    <x v="30"/>
    <x v="27"/>
    <x v="1"/>
    <x v="2"/>
    <x v="2"/>
    <x v="0"/>
    <x v="8"/>
    <x v="7"/>
    <x v="4"/>
    <x v="1"/>
  </r>
  <r>
    <s v="TX500719"/>
    <x v="10"/>
    <x v="13"/>
    <n v="51.1"/>
    <n v="306.60000000000002"/>
    <x v="30"/>
    <x v="27"/>
    <x v="2"/>
    <x v="3"/>
    <x v="0"/>
    <x v="0"/>
    <x v="8"/>
    <x v="7"/>
    <x v="4"/>
    <x v="2"/>
  </r>
  <r>
    <s v="TX500720"/>
    <x v="17"/>
    <x v="5"/>
    <n v="32.700000000000003"/>
    <n v="359.70000000000005"/>
    <x v="30"/>
    <x v="30"/>
    <x v="1"/>
    <x v="4"/>
    <x v="2"/>
    <x v="0"/>
    <x v="17"/>
    <x v="3"/>
    <x v="4"/>
    <x v="1"/>
  </r>
  <r>
    <s v="TX500721"/>
    <x v="8"/>
    <x v="12"/>
    <n v="22.5"/>
    <n v="90"/>
    <x v="30"/>
    <x v="27"/>
    <x v="1"/>
    <x v="0"/>
    <x v="2"/>
    <x v="0"/>
    <x v="26"/>
    <x v="7"/>
    <x v="4"/>
    <x v="1"/>
  </r>
  <r>
    <s v="TX500722"/>
    <x v="0"/>
    <x v="3"/>
    <n v="14.6"/>
    <n v="102.2"/>
    <x v="30"/>
    <x v="30"/>
    <x v="2"/>
    <x v="2"/>
    <x v="0"/>
    <x v="0"/>
    <x v="41"/>
    <x v="3"/>
    <x v="4"/>
    <x v="2"/>
  </r>
  <r>
    <s v="TX500723"/>
    <x v="5"/>
    <x v="2"/>
    <n v="32.5"/>
    <n v="97.5"/>
    <x v="30"/>
    <x v="34"/>
    <x v="1"/>
    <x v="0"/>
    <x v="0"/>
    <x v="0"/>
    <x v="10"/>
    <x v="2"/>
    <x v="4"/>
    <x v="1"/>
  </r>
  <r>
    <s v="TX500724"/>
    <x v="18"/>
    <x v="0"/>
    <n v="78.099999999999994"/>
    <n v="78.099999999999994"/>
    <x v="30"/>
    <x v="34"/>
    <x v="1"/>
    <x v="0"/>
    <x v="2"/>
    <x v="0"/>
    <x v="11"/>
    <x v="2"/>
    <x v="4"/>
    <x v="1"/>
  </r>
  <r>
    <s v="TX500725"/>
    <x v="12"/>
    <x v="13"/>
    <n v="110.2"/>
    <n v="661.2"/>
    <x v="30"/>
    <x v="27"/>
    <x v="1"/>
    <x v="1"/>
    <x v="4"/>
    <x v="0"/>
    <x v="13"/>
    <x v="7"/>
    <x v="4"/>
    <x v="1"/>
  </r>
  <r>
    <s v="TX500726"/>
    <x v="6"/>
    <x v="2"/>
    <n v="86.3"/>
    <n v="258.89999999999998"/>
    <x v="30"/>
    <x v="33"/>
    <x v="2"/>
    <x v="3"/>
    <x v="0"/>
    <x v="0"/>
    <x v="21"/>
    <x v="1"/>
    <x v="4"/>
    <x v="2"/>
  </r>
  <r>
    <s v="TX500727"/>
    <x v="1"/>
    <x v="13"/>
    <n v="73.599999999999994"/>
    <n v="441.59999999999997"/>
    <x v="30"/>
    <x v="33"/>
    <x v="3"/>
    <x v="3"/>
    <x v="4"/>
    <x v="0"/>
    <x v="44"/>
    <x v="1"/>
    <x v="4"/>
    <x v="3"/>
  </r>
  <r>
    <s v="TX500728"/>
    <x v="6"/>
    <x v="15"/>
    <n v="67.7"/>
    <n v="880.1"/>
    <x v="30"/>
    <x v="33"/>
    <x v="2"/>
    <x v="0"/>
    <x v="2"/>
    <x v="0"/>
    <x v="3"/>
    <x v="1"/>
    <x v="4"/>
    <x v="2"/>
  </r>
  <r>
    <s v="TX500729"/>
    <x v="7"/>
    <x v="13"/>
    <n v="142.19999999999999"/>
    <n v="853.19999999999993"/>
    <x v="30"/>
    <x v="30"/>
    <x v="2"/>
    <x v="2"/>
    <x v="4"/>
    <x v="0"/>
    <x v="3"/>
    <x v="3"/>
    <x v="4"/>
    <x v="2"/>
  </r>
  <r>
    <s v="TX500730"/>
    <x v="1"/>
    <x v="11"/>
    <n v="45.8"/>
    <n v="412.2"/>
    <x v="30"/>
    <x v="33"/>
    <x v="2"/>
    <x v="1"/>
    <x v="2"/>
    <x v="0"/>
    <x v="3"/>
    <x v="1"/>
    <x v="4"/>
    <x v="2"/>
  </r>
  <r>
    <s v="TX500731"/>
    <x v="10"/>
    <x v="1"/>
    <n v="24.2"/>
    <n v="48.4"/>
    <x v="31"/>
    <x v="32"/>
    <x v="2"/>
    <x v="3"/>
    <x v="2"/>
    <x v="0"/>
    <x v="3"/>
    <x v="2"/>
    <x v="4"/>
    <x v="2"/>
  </r>
  <r>
    <s v="TX500732"/>
    <x v="2"/>
    <x v="2"/>
    <n v="144.9"/>
    <n v="434.70000000000005"/>
    <x v="31"/>
    <x v="33"/>
    <x v="3"/>
    <x v="2"/>
    <x v="2"/>
    <x v="0"/>
    <x v="3"/>
    <x v="3"/>
    <x v="4"/>
    <x v="3"/>
  </r>
  <r>
    <s v="TX500733"/>
    <x v="11"/>
    <x v="9"/>
    <n v="32.799999999999997"/>
    <n v="164"/>
    <x v="31"/>
    <x v="32"/>
    <x v="2"/>
    <x v="2"/>
    <x v="0"/>
    <x v="0"/>
    <x v="23"/>
    <x v="2"/>
    <x v="4"/>
    <x v="2"/>
  </r>
  <r>
    <s v="TX500734"/>
    <x v="7"/>
    <x v="7"/>
    <n v="35.700000000000003"/>
    <n v="357"/>
    <x v="31"/>
    <x v="30"/>
    <x v="2"/>
    <x v="0"/>
    <x v="1"/>
    <x v="0"/>
    <x v="6"/>
    <x v="7"/>
    <x v="4"/>
    <x v="2"/>
  </r>
  <r>
    <s v="TX500735"/>
    <x v="9"/>
    <x v="1"/>
    <n v="54.6"/>
    <n v="109.2"/>
    <x v="31"/>
    <x v="33"/>
    <x v="2"/>
    <x v="2"/>
    <x v="0"/>
    <x v="0"/>
    <x v="6"/>
    <x v="3"/>
    <x v="4"/>
    <x v="2"/>
  </r>
  <r>
    <s v="TX500736"/>
    <x v="8"/>
    <x v="1"/>
    <n v="35.700000000000003"/>
    <n v="71.400000000000006"/>
    <x v="31"/>
    <x v="32"/>
    <x v="0"/>
    <x v="0"/>
    <x v="1"/>
    <x v="0"/>
    <x v="6"/>
    <x v="2"/>
    <x v="4"/>
    <x v="0"/>
  </r>
  <r>
    <s v="TX500737"/>
    <x v="10"/>
    <x v="1"/>
    <n v="52.4"/>
    <n v="104.8"/>
    <x v="31"/>
    <x v="30"/>
    <x v="2"/>
    <x v="0"/>
    <x v="3"/>
    <x v="0"/>
    <x v="6"/>
    <x v="7"/>
    <x v="4"/>
    <x v="2"/>
  </r>
  <r>
    <s v="TX500738"/>
    <x v="8"/>
    <x v="21"/>
    <n v="16.2"/>
    <n v="226.79999999999998"/>
    <x v="31"/>
    <x v="33"/>
    <x v="0"/>
    <x v="0"/>
    <x v="1"/>
    <x v="0"/>
    <x v="8"/>
    <x v="3"/>
    <x v="4"/>
    <x v="0"/>
  </r>
  <r>
    <s v="TX500739"/>
    <x v="6"/>
    <x v="35"/>
    <n v="42.8"/>
    <n v="2011.6"/>
    <x v="31"/>
    <x v="33"/>
    <x v="2"/>
    <x v="0"/>
    <x v="0"/>
    <x v="0"/>
    <x v="8"/>
    <x v="3"/>
    <x v="4"/>
    <x v="2"/>
  </r>
  <r>
    <s v="TX500740"/>
    <x v="6"/>
    <x v="11"/>
    <n v="144.4"/>
    <n v="1299.6000000000001"/>
    <x v="31"/>
    <x v="32"/>
    <x v="2"/>
    <x v="4"/>
    <x v="0"/>
    <x v="0"/>
    <x v="8"/>
    <x v="2"/>
    <x v="4"/>
    <x v="2"/>
  </r>
  <r>
    <s v="TX500741"/>
    <x v="3"/>
    <x v="34"/>
    <n v="30.6"/>
    <n v="1101.6000000000001"/>
    <x v="31"/>
    <x v="36"/>
    <x v="2"/>
    <x v="2"/>
    <x v="2"/>
    <x v="0"/>
    <x v="11"/>
    <x v="5"/>
    <x v="4"/>
    <x v="2"/>
  </r>
  <r>
    <s v="TX500742"/>
    <x v="2"/>
    <x v="1"/>
    <n v="117.5"/>
    <n v="235"/>
    <x v="31"/>
    <x v="33"/>
    <x v="1"/>
    <x v="0"/>
    <x v="0"/>
    <x v="0"/>
    <x v="19"/>
    <x v="3"/>
    <x v="4"/>
    <x v="1"/>
  </r>
  <r>
    <s v="TX500743"/>
    <x v="6"/>
    <x v="1"/>
    <n v="105.7"/>
    <n v="211.4"/>
    <x v="31"/>
    <x v="33"/>
    <x v="2"/>
    <x v="2"/>
    <x v="2"/>
    <x v="0"/>
    <x v="21"/>
    <x v="3"/>
    <x v="4"/>
    <x v="2"/>
  </r>
  <r>
    <s v="TX500744"/>
    <x v="3"/>
    <x v="2"/>
    <n v="133.69999999999999"/>
    <n v="401.09999999999997"/>
    <x v="31"/>
    <x v="33"/>
    <x v="0"/>
    <x v="4"/>
    <x v="2"/>
    <x v="0"/>
    <x v="21"/>
    <x v="3"/>
    <x v="4"/>
    <x v="0"/>
  </r>
  <r>
    <s v="TX500745"/>
    <x v="4"/>
    <x v="9"/>
    <n v="46.8"/>
    <n v="234"/>
    <x v="32"/>
    <x v="37"/>
    <x v="2"/>
    <x v="0"/>
    <x v="1"/>
    <x v="0"/>
    <x v="21"/>
    <x v="9"/>
    <x v="5"/>
    <x v="2"/>
  </r>
  <r>
    <s v="TX500746"/>
    <x v="10"/>
    <x v="2"/>
    <n v="58.4"/>
    <n v="175.2"/>
    <x v="32"/>
    <x v="32"/>
    <x v="2"/>
    <x v="0"/>
    <x v="0"/>
    <x v="0"/>
    <x v="1"/>
    <x v="1"/>
    <x v="5"/>
    <x v="2"/>
  </r>
  <r>
    <s v="TX500747"/>
    <x v="6"/>
    <x v="11"/>
    <n v="65.099999999999994"/>
    <n v="585.9"/>
    <x v="32"/>
    <x v="38"/>
    <x v="1"/>
    <x v="1"/>
    <x v="2"/>
    <x v="0"/>
    <x v="22"/>
    <x v="5"/>
    <x v="5"/>
    <x v="1"/>
  </r>
  <r>
    <s v="TX500748"/>
    <x v="8"/>
    <x v="0"/>
    <n v="18.600000000000001"/>
    <n v="18.600000000000001"/>
    <x v="32"/>
    <x v="36"/>
    <x v="2"/>
    <x v="0"/>
    <x v="4"/>
    <x v="0"/>
    <x v="22"/>
    <x v="2"/>
    <x v="5"/>
    <x v="2"/>
  </r>
  <r>
    <s v="TX500749"/>
    <x v="1"/>
    <x v="5"/>
    <n v="92.3"/>
    <n v="1015.3"/>
    <x v="32"/>
    <x v="32"/>
    <x v="1"/>
    <x v="1"/>
    <x v="0"/>
    <x v="0"/>
    <x v="3"/>
    <x v="1"/>
    <x v="5"/>
    <x v="1"/>
  </r>
  <r>
    <s v="TX500750"/>
    <x v="6"/>
    <x v="2"/>
    <n v="81.7"/>
    <n v="245.10000000000002"/>
    <x v="32"/>
    <x v="34"/>
    <x v="0"/>
    <x v="4"/>
    <x v="4"/>
    <x v="0"/>
    <x v="3"/>
    <x v="3"/>
    <x v="5"/>
    <x v="0"/>
  </r>
  <r>
    <s v="TX500751"/>
    <x v="8"/>
    <x v="1"/>
    <n v="40.9"/>
    <n v="81.8"/>
    <x v="32"/>
    <x v="32"/>
    <x v="1"/>
    <x v="0"/>
    <x v="1"/>
    <x v="0"/>
    <x v="3"/>
    <x v="1"/>
    <x v="5"/>
    <x v="1"/>
  </r>
  <r>
    <s v="TX500752"/>
    <x v="6"/>
    <x v="12"/>
    <n v="43.2"/>
    <n v="172.8"/>
    <x v="32"/>
    <x v="39"/>
    <x v="2"/>
    <x v="0"/>
    <x v="1"/>
    <x v="0"/>
    <x v="3"/>
    <x v="4"/>
    <x v="5"/>
    <x v="2"/>
  </r>
  <r>
    <s v="TX500753"/>
    <x v="8"/>
    <x v="5"/>
    <n v="25.8"/>
    <n v="283.8"/>
    <x v="32"/>
    <x v="36"/>
    <x v="1"/>
    <x v="2"/>
    <x v="1"/>
    <x v="0"/>
    <x v="3"/>
    <x v="2"/>
    <x v="5"/>
    <x v="1"/>
  </r>
  <r>
    <s v="TX500754"/>
    <x v="15"/>
    <x v="12"/>
    <n v="36.4"/>
    <n v="145.6"/>
    <x v="32"/>
    <x v="34"/>
    <x v="1"/>
    <x v="0"/>
    <x v="0"/>
    <x v="0"/>
    <x v="3"/>
    <x v="3"/>
    <x v="5"/>
    <x v="1"/>
  </r>
  <r>
    <s v="TX500755"/>
    <x v="10"/>
    <x v="0"/>
    <n v="59.1"/>
    <n v="59.1"/>
    <x v="32"/>
    <x v="34"/>
    <x v="2"/>
    <x v="2"/>
    <x v="0"/>
    <x v="0"/>
    <x v="7"/>
    <x v="3"/>
    <x v="5"/>
    <x v="2"/>
  </r>
  <r>
    <s v="TX500756"/>
    <x v="2"/>
    <x v="14"/>
    <n v="74.5"/>
    <n v="1266.5"/>
    <x v="32"/>
    <x v="32"/>
    <x v="1"/>
    <x v="4"/>
    <x v="0"/>
    <x v="0"/>
    <x v="18"/>
    <x v="1"/>
    <x v="5"/>
    <x v="1"/>
  </r>
  <r>
    <s v="TX500757"/>
    <x v="5"/>
    <x v="0"/>
    <n v="72.8"/>
    <n v="72.8"/>
    <x v="32"/>
    <x v="34"/>
    <x v="2"/>
    <x v="0"/>
    <x v="1"/>
    <x v="0"/>
    <x v="19"/>
    <x v="3"/>
    <x v="5"/>
    <x v="2"/>
  </r>
  <r>
    <s v="TX500758"/>
    <x v="6"/>
    <x v="12"/>
    <n v="137.30000000000001"/>
    <n v="549.20000000000005"/>
    <x v="32"/>
    <x v="36"/>
    <x v="2"/>
    <x v="0"/>
    <x v="0"/>
    <x v="0"/>
    <x v="13"/>
    <x v="2"/>
    <x v="5"/>
    <x v="2"/>
  </r>
  <r>
    <s v="TX500759"/>
    <x v="1"/>
    <x v="2"/>
    <n v="48.7"/>
    <n v="146.10000000000002"/>
    <x v="32"/>
    <x v="31"/>
    <x v="2"/>
    <x v="0"/>
    <x v="1"/>
    <x v="0"/>
    <x v="21"/>
    <x v="0"/>
    <x v="5"/>
    <x v="2"/>
  </r>
  <r>
    <s v="TX500760"/>
    <x v="6"/>
    <x v="12"/>
    <n v="53.7"/>
    <n v="214.8"/>
    <x v="32"/>
    <x v="38"/>
    <x v="1"/>
    <x v="1"/>
    <x v="4"/>
    <x v="0"/>
    <x v="2"/>
    <x v="5"/>
    <x v="5"/>
    <x v="1"/>
  </r>
  <r>
    <s v="TX500761"/>
    <x v="2"/>
    <x v="3"/>
    <n v="100.9"/>
    <n v="706.30000000000007"/>
    <x v="32"/>
    <x v="32"/>
    <x v="2"/>
    <x v="0"/>
    <x v="1"/>
    <x v="0"/>
    <x v="2"/>
    <x v="1"/>
    <x v="5"/>
    <x v="2"/>
  </r>
  <r>
    <s v="TX500762"/>
    <x v="10"/>
    <x v="1"/>
    <n v="41.8"/>
    <n v="83.6"/>
    <x v="32"/>
    <x v="38"/>
    <x v="1"/>
    <x v="3"/>
    <x v="2"/>
    <x v="0"/>
    <x v="22"/>
    <x v="5"/>
    <x v="5"/>
    <x v="1"/>
  </r>
  <r>
    <s v="TX500763"/>
    <x v="4"/>
    <x v="8"/>
    <n v="28.5"/>
    <n v="228"/>
    <x v="32"/>
    <x v="32"/>
    <x v="1"/>
    <x v="2"/>
    <x v="1"/>
    <x v="0"/>
    <x v="3"/>
    <x v="1"/>
    <x v="5"/>
    <x v="1"/>
  </r>
  <r>
    <s v="TX500764"/>
    <x v="7"/>
    <x v="12"/>
    <n v="88.9"/>
    <n v="355.6"/>
    <x v="32"/>
    <x v="36"/>
    <x v="2"/>
    <x v="0"/>
    <x v="2"/>
    <x v="0"/>
    <x v="3"/>
    <x v="2"/>
    <x v="5"/>
    <x v="2"/>
  </r>
  <r>
    <s v="TX500765"/>
    <x v="6"/>
    <x v="0"/>
    <n v="62.5"/>
    <n v="62.5"/>
    <x v="32"/>
    <x v="40"/>
    <x v="2"/>
    <x v="0"/>
    <x v="2"/>
    <x v="0"/>
    <x v="3"/>
    <x v="8"/>
    <x v="5"/>
    <x v="2"/>
  </r>
  <r>
    <s v="TX500766"/>
    <x v="1"/>
    <x v="2"/>
    <n v="46.9"/>
    <n v="140.69999999999999"/>
    <x v="32"/>
    <x v="34"/>
    <x v="1"/>
    <x v="0"/>
    <x v="2"/>
    <x v="0"/>
    <x v="3"/>
    <x v="3"/>
    <x v="5"/>
    <x v="1"/>
  </r>
  <r>
    <s v="TX500767"/>
    <x v="8"/>
    <x v="2"/>
    <n v="45"/>
    <n v="135"/>
    <x v="32"/>
    <x v="41"/>
    <x v="1"/>
    <x v="1"/>
    <x v="0"/>
    <x v="0"/>
    <x v="3"/>
    <x v="12"/>
    <x v="5"/>
    <x v="1"/>
  </r>
  <r>
    <s v="TX500768"/>
    <x v="6"/>
    <x v="2"/>
    <n v="45.2"/>
    <n v="135.60000000000002"/>
    <x v="32"/>
    <x v="32"/>
    <x v="1"/>
    <x v="4"/>
    <x v="2"/>
    <x v="0"/>
    <x v="3"/>
    <x v="1"/>
    <x v="5"/>
    <x v="1"/>
  </r>
  <r>
    <s v="TX500769"/>
    <x v="4"/>
    <x v="1"/>
    <n v="60.1"/>
    <n v="120.2"/>
    <x v="32"/>
    <x v="34"/>
    <x v="2"/>
    <x v="0"/>
    <x v="2"/>
    <x v="0"/>
    <x v="3"/>
    <x v="3"/>
    <x v="5"/>
    <x v="2"/>
  </r>
  <r>
    <s v="TX500770"/>
    <x v="12"/>
    <x v="12"/>
    <n v="118.7"/>
    <n v="474.8"/>
    <x v="32"/>
    <x v="32"/>
    <x v="2"/>
    <x v="0"/>
    <x v="0"/>
    <x v="0"/>
    <x v="3"/>
    <x v="1"/>
    <x v="5"/>
    <x v="2"/>
  </r>
  <r>
    <s v="TX500771"/>
    <x v="9"/>
    <x v="0"/>
    <n v="57.8"/>
    <n v="57.8"/>
    <x v="32"/>
    <x v="40"/>
    <x v="2"/>
    <x v="1"/>
    <x v="0"/>
    <x v="0"/>
    <x v="3"/>
    <x v="8"/>
    <x v="5"/>
    <x v="2"/>
  </r>
  <r>
    <s v="TX500772"/>
    <x v="4"/>
    <x v="0"/>
    <n v="19.5"/>
    <n v="19.5"/>
    <x v="32"/>
    <x v="34"/>
    <x v="1"/>
    <x v="1"/>
    <x v="1"/>
    <x v="0"/>
    <x v="3"/>
    <x v="3"/>
    <x v="5"/>
    <x v="1"/>
  </r>
  <r>
    <s v="TX500773"/>
    <x v="12"/>
    <x v="0"/>
    <n v="42.6"/>
    <n v="42.6"/>
    <x v="32"/>
    <x v="34"/>
    <x v="1"/>
    <x v="0"/>
    <x v="1"/>
    <x v="0"/>
    <x v="3"/>
    <x v="3"/>
    <x v="5"/>
    <x v="1"/>
  </r>
  <r>
    <s v="TX500774"/>
    <x v="6"/>
    <x v="1"/>
    <n v="74.8"/>
    <n v="149.6"/>
    <x v="32"/>
    <x v="34"/>
    <x v="2"/>
    <x v="3"/>
    <x v="2"/>
    <x v="0"/>
    <x v="37"/>
    <x v="3"/>
    <x v="5"/>
    <x v="2"/>
  </r>
  <r>
    <s v="TX500775"/>
    <x v="8"/>
    <x v="2"/>
    <n v="32.5"/>
    <n v="97.5"/>
    <x v="32"/>
    <x v="34"/>
    <x v="1"/>
    <x v="2"/>
    <x v="4"/>
    <x v="0"/>
    <x v="16"/>
    <x v="3"/>
    <x v="5"/>
    <x v="1"/>
  </r>
  <r>
    <s v="TX500776"/>
    <x v="2"/>
    <x v="2"/>
    <n v="60.5"/>
    <n v="181.5"/>
    <x v="32"/>
    <x v="33"/>
    <x v="2"/>
    <x v="1"/>
    <x v="2"/>
    <x v="0"/>
    <x v="25"/>
    <x v="7"/>
    <x v="5"/>
    <x v="2"/>
  </r>
  <r>
    <s v="TX500777"/>
    <x v="1"/>
    <x v="3"/>
    <n v="57.2"/>
    <n v="400.40000000000003"/>
    <x v="32"/>
    <x v="32"/>
    <x v="0"/>
    <x v="2"/>
    <x v="0"/>
    <x v="0"/>
    <x v="25"/>
    <x v="1"/>
    <x v="5"/>
    <x v="0"/>
  </r>
  <r>
    <s v="TX500778"/>
    <x v="16"/>
    <x v="1"/>
    <n v="112"/>
    <n v="224"/>
    <x v="32"/>
    <x v="34"/>
    <x v="2"/>
    <x v="1"/>
    <x v="1"/>
    <x v="0"/>
    <x v="5"/>
    <x v="3"/>
    <x v="5"/>
    <x v="2"/>
  </r>
  <r>
    <s v="TX500779"/>
    <x v="7"/>
    <x v="7"/>
    <n v="49"/>
    <n v="490"/>
    <x v="32"/>
    <x v="34"/>
    <x v="3"/>
    <x v="2"/>
    <x v="1"/>
    <x v="0"/>
    <x v="6"/>
    <x v="3"/>
    <x v="5"/>
    <x v="3"/>
  </r>
  <r>
    <s v="TX500780"/>
    <x v="0"/>
    <x v="1"/>
    <n v="33.700000000000003"/>
    <n v="67.400000000000006"/>
    <x v="32"/>
    <x v="38"/>
    <x v="2"/>
    <x v="3"/>
    <x v="0"/>
    <x v="0"/>
    <x v="6"/>
    <x v="5"/>
    <x v="5"/>
    <x v="2"/>
  </r>
  <r>
    <s v="TX500781"/>
    <x v="4"/>
    <x v="2"/>
    <n v="35.6"/>
    <n v="106.80000000000001"/>
    <x v="32"/>
    <x v="36"/>
    <x v="2"/>
    <x v="0"/>
    <x v="2"/>
    <x v="0"/>
    <x v="6"/>
    <x v="2"/>
    <x v="5"/>
    <x v="2"/>
  </r>
  <r>
    <s v="TX500782"/>
    <x v="4"/>
    <x v="36"/>
    <n v="30.4"/>
    <n v="1064"/>
    <x v="33"/>
    <x v="34"/>
    <x v="2"/>
    <x v="0"/>
    <x v="1"/>
    <x v="0"/>
    <x v="7"/>
    <x v="7"/>
    <x v="5"/>
    <x v="2"/>
  </r>
  <r>
    <s v="TX500783"/>
    <x v="10"/>
    <x v="4"/>
    <n v="50.2"/>
    <n v="602.40000000000009"/>
    <x v="33"/>
    <x v="32"/>
    <x v="1"/>
    <x v="4"/>
    <x v="0"/>
    <x v="0"/>
    <x v="8"/>
    <x v="3"/>
    <x v="5"/>
    <x v="1"/>
  </r>
  <r>
    <s v="TX500784"/>
    <x v="1"/>
    <x v="1"/>
    <n v="43.7"/>
    <n v="87.4"/>
    <x v="33"/>
    <x v="36"/>
    <x v="2"/>
    <x v="0"/>
    <x v="0"/>
    <x v="0"/>
    <x v="8"/>
    <x v="1"/>
    <x v="5"/>
    <x v="2"/>
  </r>
  <r>
    <s v="TX500785"/>
    <x v="10"/>
    <x v="0"/>
    <n v="33.299999999999997"/>
    <n v="33.299999999999997"/>
    <x v="33"/>
    <x v="32"/>
    <x v="2"/>
    <x v="2"/>
    <x v="1"/>
    <x v="0"/>
    <x v="8"/>
    <x v="3"/>
    <x v="5"/>
    <x v="2"/>
  </r>
  <r>
    <s v="TX500786"/>
    <x v="8"/>
    <x v="12"/>
    <n v="15.1"/>
    <n v="60.4"/>
    <x v="33"/>
    <x v="36"/>
    <x v="2"/>
    <x v="4"/>
    <x v="2"/>
    <x v="0"/>
    <x v="8"/>
    <x v="1"/>
    <x v="5"/>
    <x v="2"/>
  </r>
  <r>
    <s v="TX500787"/>
    <x v="6"/>
    <x v="9"/>
    <n v="118.2"/>
    <n v="591"/>
    <x v="33"/>
    <x v="32"/>
    <x v="2"/>
    <x v="3"/>
    <x v="4"/>
    <x v="0"/>
    <x v="8"/>
    <x v="3"/>
    <x v="5"/>
    <x v="2"/>
  </r>
  <r>
    <s v="TX500788"/>
    <x v="10"/>
    <x v="2"/>
    <n v="28.9"/>
    <n v="86.699999999999989"/>
    <x v="33"/>
    <x v="36"/>
    <x v="2"/>
    <x v="2"/>
    <x v="1"/>
    <x v="0"/>
    <x v="8"/>
    <x v="1"/>
    <x v="5"/>
    <x v="2"/>
  </r>
  <r>
    <s v="TX500789"/>
    <x v="4"/>
    <x v="2"/>
    <n v="55.6"/>
    <n v="166.8"/>
    <x v="33"/>
    <x v="32"/>
    <x v="1"/>
    <x v="0"/>
    <x v="1"/>
    <x v="0"/>
    <x v="8"/>
    <x v="3"/>
    <x v="5"/>
    <x v="1"/>
  </r>
  <r>
    <s v="TX500790"/>
    <x v="9"/>
    <x v="12"/>
    <n v="25.6"/>
    <n v="102.4"/>
    <x v="33"/>
    <x v="36"/>
    <x v="2"/>
    <x v="0"/>
    <x v="1"/>
    <x v="0"/>
    <x v="8"/>
    <x v="1"/>
    <x v="5"/>
    <x v="2"/>
  </r>
  <r>
    <s v="TX500791"/>
    <x v="7"/>
    <x v="2"/>
    <n v="31.3"/>
    <n v="93.9"/>
    <x v="33"/>
    <x v="32"/>
    <x v="1"/>
    <x v="0"/>
    <x v="0"/>
    <x v="0"/>
    <x v="17"/>
    <x v="3"/>
    <x v="5"/>
    <x v="1"/>
  </r>
  <r>
    <s v="TX500792"/>
    <x v="0"/>
    <x v="2"/>
    <n v="22.1"/>
    <n v="66.300000000000011"/>
    <x v="33"/>
    <x v="31"/>
    <x v="1"/>
    <x v="0"/>
    <x v="0"/>
    <x v="0"/>
    <x v="17"/>
    <x v="5"/>
    <x v="5"/>
    <x v="1"/>
  </r>
  <r>
    <s v="TX500793"/>
    <x v="2"/>
    <x v="21"/>
    <n v="99.4"/>
    <n v="1391.6000000000001"/>
    <x v="33"/>
    <x v="32"/>
    <x v="1"/>
    <x v="1"/>
    <x v="0"/>
    <x v="0"/>
    <x v="11"/>
    <x v="3"/>
    <x v="5"/>
    <x v="1"/>
  </r>
  <r>
    <s v="TX500794"/>
    <x v="7"/>
    <x v="13"/>
    <n v="66.599999999999994"/>
    <n v="399.59999999999997"/>
    <x v="33"/>
    <x v="32"/>
    <x v="2"/>
    <x v="0"/>
    <x v="0"/>
    <x v="0"/>
    <x v="11"/>
    <x v="3"/>
    <x v="5"/>
    <x v="2"/>
  </r>
  <r>
    <s v="TX500795"/>
    <x v="8"/>
    <x v="1"/>
    <n v="22.6"/>
    <n v="45.2"/>
    <x v="33"/>
    <x v="38"/>
    <x v="1"/>
    <x v="0"/>
    <x v="0"/>
    <x v="0"/>
    <x v="11"/>
    <x v="2"/>
    <x v="5"/>
    <x v="1"/>
  </r>
  <r>
    <s v="TX500796"/>
    <x v="2"/>
    <x v="16"/>
    <n v="66.8"/>
    <n v="1202.3999999999999"/>
    <x v="33"/>
    <x v="32"/>
    <x v="2"/>
    <x v="0"/>
    <x v="4"/>
    <x v="0"/>
    <x v="13"/>
    <x v="3"/>
    <x v="5"/>
    <x v="2"/>
  </r>
  <r>
    <s v="TX500797"/>
    <x v="0"/>
    <x v="12"/>
    <n v="20.8"/>
    <n v="83.2"/>
    <x v="33"/>
    <x v="37"/>
    <x v="1"/>
    <x v="1"/>
    <x v="4"/>
    <x v="0"/>
    <x v="1"/>
    <x v="6"/>
    <x v="5"/>
    <x v="1"/>
  </r>
  <r>
    <s v="TX500798"/>
    <x v="2"/>
    <x v="3"/>
    <n v="102.5"/>
    <n v="717.5"/>
    <x v="33"/>
    <x v="32"/>
    <x v="2"/>
    <x v="4"/>
    <x v="2"/>
    <x v="0"/>
    <x v="3"/>
    <x v="3"/>
    <x v="5"/>
    <x v="2"/>
  </r>
  <r>
    <s v="TX500799"/>
    <x v="0"/>
    <x v="16"/>
    <n v="24.8"/>
    <n v="446.40000000000003"/>
    <x v="33"/>
    <x v="31"/>
    <x v="2"/>
    <x v="0"/>
    <x v="0"/>
    <x v="0"/>
    <x v="3"/>
    <x v="5"/>
    <x v="5"/>
    <x v="2"/>
  </r>
  <r>
    <s v="TX500800"/>
    <x v="4"/>
    <x v="37"/>
    <n v="31.4"/>
    <n v="973.4"/>
    <x v="33"/>
    <x v="32"/>
    <x v="2"/>
    <x v="3"/>
    <x v="0"/>
    <x v="0"/>
    <x v="3"/>
    <x v="3"/>
    <x v="5"/>
    <x v="2"/>
  </r>
  <r>
    <s v="TX500801"/>
    <x v="9"/>
    <x v="9"/>
    <n v="59.3"/>
    <n v="296.5"/>
    <x v="33"/>
    <x v="38"/>
    <x v="1"/>
    <x v="1"/>
    <x v="2"/>
    <x v="0"/>
    <x v="43"/>
    <x v="2"/>
    <x v="5"/>
    <x v="1"/>
  </r>
  <r>
    <s v="TX500802"/>
    <x v="11"/>
    <x v="13"/>
    <n v="39"/>
    <n v="234"/>
    <x v="33"/>
    <x v="38"/>
    <x v="1"/>
    <x v="1"/>
    <x v="0"/>
    <x v="0"/>
    <x v="6"/>
    <x v="2"/>
    <x v="5"/>
    <x v="1"/>
  </r>
  <r>
    <s v="TX500803"/>
    <x v="5"/>
    <x v="13"/>
    <n v="98.6"/>
    <n v="591.59999999999991"/>
    <x v="33"/>
    <x v="36"/>
    <x v="2"/>
    <x v="1"/>
    <x v="0"/>
    <x v="0"/>
    <x v="6"/>
    <x v="1"/>
    <x v="5"/>
    <x v="2"/>
  </r>
  <r>
    <s v="TX500804"/>
    <x v="8"/>
    <x v="0"/>
    <n v="20"/>
    <n v="20"/>
    <x v="34"/>
    <x v="36"/>
    <x v="1"/>
    <x v="3"/>
    <x v="2"/>
    <x v="0"/>
    <x v="8"/>
    <x v="3"/>
    <x v="5"/>
    <x v="1"/>
  </r>
  <r>
    <s v="TX500805"/>
    <x v="1"/>
    <x v="1"/>
    <n v="42.9"/>
    <n v="85.8"/>
    <x v="34"/>
    <x v="38"/>
    <x v="2"/>
    <x v="0"/>
    <x v="2"/>
    <x v="0"/>
    <x v="8"/>
    <x v="1"/>
    <x v="5"/>
    <x v="2"/>
  </r>
  <r>
    <s v="TX500806"/>
    <x v="7"/>
    <x v="3"/>
    <n v="55.6"/>
    <n v="389.2"/>
    <x v="34"/>
    <x v="38"/>
    <x v="2"/>
    <x v="2"/>
    <x v="1"/>
    <x v="0"/>
    <x v="8"/>
    <x v="1"/>
    <x v="5"/>
    <x v="2"/>
  </r>
  <r>
    <s v="TX500807"/>
    <x v="8"/>
    <x v="12"/>
    <n v="19.2"/>
    <n v="76.8"/>
    <x v="34"/>
    <x v="35"/>
    <x v="2"/>
    <x v="0"/>
    <x v="0"/>
    <x v="0"/>
    <x v="41"/>
    <x v="0"/>
    <x v="5"/>
    <x v="2"/>
  </r>
  <r>
    <s v="TX500808"/>
    <x v="5"/>
    <x v="1"/>
    <n v="28.8"/>
    <n v="57.6"/>
    <x v="34"/>
    <x v="38"/>
    <x v="1"/>
    <x v="1"/>
    <x v="0"/>
    <x v="0"/>
    <x v="18"/>
    <x v="1"/>
    <x v="5"/>
    <x v="1"/>
  </r>
  <r>
    <s v="TX500809"/>
    <x v="4"/>
    <x v="0"/>
    <n v="29.7"/>
    <n v="29.7"/>
    <x v="34"/>
    <x v="38"/>
    <x v="2"/>
    <x v="2"/>
    <x v="4"/>
    <x v="0"/>
    <x v="20"/>
    <x v="1"/>
    <x v="5"/>
    <x v="2"/>
  </r>
  <r>
    <s v="TX500810"/>
    <x v="6"/>
    <x v="13"/>
    <n v="63.3"/>
    <n v="379.79999999999995"/>
    <x v="34"/>
    <x v="36"/>
    <x v="0"/>
    <x v="0"/>
    <x v="2"/>
    <x v="0"/>
    <x v="21"/>
    <x v="3"/>
    <x v="5"/>
    <x v="0"/>
  </r>
  <r>
    <s v="TX500811"/>
    <x v="4"/>
    <x v="0"/>
    <n v="46"/>
    <n v="46"/>
    <x v="34"/>
    <x v="36"/>
    <x v="2"/>
    <x v="0"/>
    <x v="2"/>
    <x v="0"/>
    <x v="21"/>
    <x v="3"/>
    <x v="5"/>
    <x v="2"/>
  </r>
  <r>
    <s v="TX500812"/>
    <x v="11"/>
    <x v="2"/>
    <n v="38"/>
    <n v="114"/>
    <x v="34"/>
    <x v="38"/>
    <x v="2"/>
    <x v="1"/>
    <x v="2"/>
    <x v="0"/>
    <x v="21"/>
    <x v="1"/>
    <x v="5"/>
    <x v="2"/>
  </r>
  <r>
    <s v="TX500813"/>
    <x v="10"/>
    <x v="15"/>
    <n v="34.6"/>
    <n v="449.8"/>
    <x v="34"/>
    <x v="38"/>
    <x v="2"/>
    <x v="0"/>
    <x v="1"/>
    <x v="0"/>
    <x v="21"/>
    <x v="1"/>
    <x v="5"/>
    <x v="2"/>
  </r>
  <r>
    <s v="TX500814"/>
    <x v="3"/>
    <x v="7"/>
    <n v="79.7"/>
    <n v="797"/>
    <x v="34"/>
    <x v="36"/>
    <x v="2"/>
    <x v="4"/>
    <x v="1"/>
    <x v="0"/>
    <x v="21"/>
    <x v="3"/>
    <x v="5"/>
    <x v="2"/>
  </r>
  <r>
    <s v="TX500815"/>
    <x v="8"/>
    <x v="8"/>
    <n v="30.5"/>
    <n v="244"/>
    <x v="34"/>
    <x v="39"/>
    <x v="1"/>
    <x v="3"/>
    <x v="0"/>
    <x v="0"/>
    <x v="1"/>
    <x v="5"/>
    <x v="5"/>
    <x v="1"/>
  </r>
  <r>
    <s v="TX500816"/>
    <x v="0"/>
    <x v="1"/>
    <n v="20.8"/>
    <n v="41.6"/>
    <x v="34"/>
    <x v="36"/>
    <x v="2"/>
    <x v="0"/>
    <x v="0"/>
    <x v="0"/>
    <x v="2"/>
    <x v="3"/>
    <x v="5"/>
    <x v="2"/>
  </r>
  <r>
    <s v="TX500817"/>
    <x v="11"/>
    <x v="3"/>
    <n v="48.5"/>
    <n v="339.5"/>
    <x v="34"/>
    <x v="39"/>
    <x v="2"/>
    <x v="2"/>
    <x v="2"/>
    <x v="0"/>
    <x v="2"/>
    <x v="5"/>
    <x v="5"/>
    <x v="2"/>
  </r>
  <r>
    <s v="TX500818"/>
    <x v="2"/>
    <x v="12"/>
    <n v="61.8"/>
    <n v="247.2"/>
    <x v="34"/>
    <x v="39"/>
    <x v="2"/>
    <x v="4"/>
    <x v="0"/>
    <x v="0"/>
    <x v="22"/>
    <x v="5"/>
    <x v="5"/>
    <x v="2"/>
  </r>
  <r>
    <s v="TX500819"/>
    <x v="10"/>
    <x v="0"/>
    <n v="46.1"/>
    <n v="46.1"/>
    <x v="34"/>
    <x v="36"/>
    <x v="3"/>
    <x v="2"/>
    <x v="0"/>
    <x v="0"/>
    <x v="3"/>
    <x v="3"/>
    <x v="5"/>
    <x v="3"/>
  </r>
  <r>
    <s v="TX500820"/>
    <x v="4"/>
    <x v="13"/>
    <n v="44"/>
    <n v="264"/>
    <x v="34"/>
    <x v="36"/>
    <x v="2"/>
    <x v="0"/>
    <x v="0"/>
    <x v="0"/>
    <x v="3"/>
    <x v="3"/>
    <x v="5"/>
    <x v="2"/>
  </r>
  <r>
    <s v="TX500821"/>
    <x v="18"/>
    <x v="1"/>
    <n v="95.7"/>
    <n v="191.4"/>
    <x v="34"/>
    <x v="37"/>
    <x v="2"/>
    <x v="3"/>
    <x v="2"/>
    <x v="0"/>
    <x v="3"/>
    <x v="4"/>
    <x v="5"/>
    <x v="2"/>
  </r>
  <r>
    <s v="TX500822"/>
    <x v="7"/>
    <x v="9"/>
    <n v="46.4"/>
    <n v="232"/>
    <x v="34"/>
    <x v="31"/>
    <x v="2"/>
    <x v="0"/>
    <x v="0"/>
    <x v="0"/>
    <x v="3"/>
    <x v="2"/>
    <x v="5"/>
    <x v="2"/>
  </r>
  <r>
    <s v="TX500823"/>
    <x v="6"/>
    <x v="1"/>
    <n v="47.2"/>
    <n v="94.4"/>
    <x v="34"/>
    <x v="38"/>
    <x v="2"/>
    <x v="0"/>
    <x v="2"/>
    <x v="0"/>
    <x v="3"/>
    <x v="1"/>
    <x v="5"/>
    <x v="2"/>
  </r>
  <r>
    <s v="TX500824"/>
    <x v="7"/>
    <x v="1"/>
    <n v="58.6"/>
    <n v="117.2"/>
    <x v="34"/>
    <x v="36"/>
    <x v="2"/>
    <x v="2"/>
    <x v="1"/>
    <x v="0"/>
    <x v="3"/>
    <x v="3"/>
    <x v="5"/>
    <x v="2"/>
  </r>
  <r>
    <s v="TX500825"/>
    <x v="4"/>
    <x v="2"/>
    <n v="57"/>
    <n v="171"/>
    <x v="34"/>
    <x v="36"/>
    <x v="1"/>
    <x v="0"/>
    <x v="2"/>
    <x v="0"/>
    <x v="3"/>
    <x v="3"/>
    <x v="5"/>
    <x v="1"/>
  </r>
  <r>
    <s v="TX500826"/>
    <x v="8"/>
    <x v="12"/>
    <n v="28.9"/>
    <n v="115.6"/>
    <x v="34"/>
    <x v="39"/>
    <x v="1"/>
    <x v="2"/>
    <x v="0"/>
    <x v="0"/>
    <x v="3"/>
    <x v="5"/>
    <x v="5"/>
    <x v="1"/>
  </r>
  <r>
    <s v="TX500827"/>
    <x v="12"/>
    <x v="9"/>
    <n v="60.7"/>
    <n v="303.5"/>
    <x v="34"/>
    <x v="39"/>
    <x v="0"/>
    <x v="1"/>
    <x v="1"/>
    <x v="0"/>
    <x v="3"/>
    <x v="5"/>
    <x v="5"/>
    <x v="0"/>
  </r>
  <r>
    <s v="TX500828"/>
    <x v="6"/>
    <x v="9"/>
    <n v="60.8"/>
    <n v="304"/>
    <x v="34"/>
    <x v="39"/>
    <x v="1"/>
    <x v="0"/>
    <x v="1"/>
    <x v="0"/>
    <x v="3"/>
    <x v="5"/>
    <x v="5"/>
    <x v="1"/>
  </r>
  <r>
    <s v="TX500829"/>
    <x v="6"/>
    <x v="9"/>
    <n v="64.599999999999994"/>
    <n v="323"/>
    <x v="34"/>
    <x v="36"/>
    <x v="2"/>
    <x v="3"/>
    <x v="0"/>
    <x v="0"/>
    <x v="3"/>
    <x v="3"/>
    <x v="5"/>
    <x v="2"/>
  </r>
  <r>
    <s v="TX500830"/>
    <x v="8"/>
    <x v="0"/>
    <n v="21.9"/>
    <n v="21.9"/>
    <x v="34"/>
    <x v="31"/>
    <x v="1"/>
    <x v="1"/>
    <x v="2"/>
    <x v="0"/>
    <x v="4"/>
    <x v="2"/>
    <x v="5"/>
    <x v="1"/>
  </r>
  <r>
    <s v="TX500831"/>
    <x v="4"/>
    <x v="4"/>
    <n v="33.4"/>
    <n v="400.79999999999995"/>
    <x v="34"/>
    <x v="38"/>
    <x v="2"/>
    <x v="0"/>
    <x v="0"/>
    <x v="0"/>
    <x v="23"/>
    <x v="1"/>
    <x v="5"/>
    <x v="2"/>
  </r>
  <r>
    <s v="TX500832"/>
    <x v="2"/>
    <x v="0"/>
    <n v="51.7"/>
    <n v="51.7"/>
    <x v="34"/>
    <x v="36"/>
    <x v="0"/>
    <x v="0"/>
    <x v="0"/>
    <x v="0"/>
    <x v="6"/>
    <x v="3"/>
    <x v="5"/>
    <x v="0"/>
  </r>
  <r>
    <s v="TX500833"/>
    <x v="1"/>
    <x v="12"/>
    <n v="84.9"/>
    <n v="339.6"/>
    <x v="34"/>
    <x v="36"/>
    <x v="2"/>
    <x v="1"/>
    <x v="1"/>
    <x v="0"/>
    <x v="6"/>
    <x v="3"/>
    <x v="5"/>
    <x v="2"/>
  </r>
  <r>
    <s v="TX500834"/>
    <x v="1"/>
    <x v="5"/>
    <n v="62.3"/>
    <n v="685.3"/>
    <x v="34"/>
    <x v="36"/>
    <x v="2"/>
    <x v="2"/>
    <x v="2"/>
    <x v="0"/>
    <x v="7"/>
    <x v="3"/>
    <x v="5"/>
    <x v="2"/>
  </r>
  <r>
    <s v="TX500835"/>
    <x v="4"/>
    <x v="0"/>
    <n v="50.7"/>
    <n v="50.7"/>
    <x v="34"/>
    <x v="38"/>
    <x v="1"/>
    <x v="2"/>
    <x v="2"/>
    <x v="0"/>
    <x v="8"/>
    <x v="1"/>
    <x v="5"/>
    <x v="1"/>
  </r>
  <r>
    <s v="TX500836"/>
    <x v="18"/>
    <x v="0"/>
    <n v="39.5"/>
    <n v="39.5"/>
    <x v="34"/>
    <x v="36"/>
    <x v="1"/>
    <x v="4"/>
    <x v="1"/>
    <x v="0"/>
    <x v="8"/>
    <x v="3"/>
    <x v="5"/>
    <x v="1"/>
  </r>
  <r>
    <s v="TX500837"/>
    <x v="12"/>
    <x v="2"/>
    <n v="30.9"/>
    <n v="92.699999999999989"/>
    <x v="34"/>
    <x v="36"/>
    <x v="0"/>
    <x v="4"/>
    <x v="2"/>
    <x v="0"/>
    <x v="8"/>
    <x v="3"/>
    <x v="5"/>
    <x v="0"/>
  </r>
  <r>
    <s v="TX500838"/>
    <x v="1"/>
    <x v="3"/>
    <n v="36.4"/>
    <n v="254.79999999999998"/>
    <x v="34"/>
    <x v="31"/>
    <x v="2"/>
    <x v="0"/>
    <x v="2"/>
    <x v="0"/>
    <x v="8"/>
    <x v="2"/>
    <x v="5"/>
    <x v="2"/>
  </r>
  <r>
    <s v="TX500839"/>
    <x v="6"/>
    <x v="8"/>
    <n v="105.6"/>
    <n v="844.8"/>
    <x v="34"/>
    <x v="42"/>
    <x v="2"/>
    <x v="0"/>
    <x v="0"/>
    <x v="0"/>
    <x v="8"/>
    <x v="14"/>
    <x v="5"/>
    <x v="2"/>
  </r>
  <r>
    <s v="TX500840"/>
    <x v="8"/>
    <x v="1"/>
    <n v="22.1"/>
    <n v="44.2"/>
    <x v="34"/>
    <x v="36"/>
    <x v="2"/>
    <x v="0"/>
    <x v="2"/>
    <x v="0"/>
    <x v="17"/>
    <x v="3"/>
    <x v="5"/>
    <x v="2"/>
  </r>
  <r>
    <s v="TX500841"/>
    <x v="0"/>
    <x v="2"/>
    <n v="22.6"/>
    <n v="67.800000000000011"/>
    <x v="34"/>
    <x v="36"/>
    <x v="2"/>
    <x v="2"/>
    <x v="0"/>
    <x v="0"/>
    <x v="17"/>
    <x v="3"/>
    <x v="5"/>
    <x v="2"/>
  </r>
  <r>
    <s v="TX500842"/>
    <x v="10"/>
    <x v="13"/>
    <n v="26.3"/>
    <n v="157.80000000000001"/>
    <x v="34"/>
    <x v="32"/>
    <x v="2"/>
    <x v="2"/>
    <x v="0"/>
    <x v="0"/>
    <x v="9"/>
    <x v="7"/>
    <x v="5"/>
    <x v="2"/>
  </r>
  <r>
    <s v="TX500843"/>
    <x v="1"/>
    <x v="12"/>
    <n v="37.799999999999997"/>
    <n v="151.19999999999999"/>
    <x v="34"/>
    <x v="36"/>
    <x v="2"/>
    <x v="0"/>
    <x v="2"/>
    <x v="0"/>
    <x v="11"/>
    <x v="3"/>
    <x v="5"/>
    <x v="2"/>
  </r>
  <r>
    <s v="TX500844"/>
    <x v="6"/>
    <x v="14"/>
    <n v="96"/>
    <n v="1632"/>
    <x v="34"/>
    <x v="31"/>
    <x v="2"/>
    <x v="4"/>
    <x v="1"/>
    <x v="0"/>
    <x v="18"/>
    <x v="2"/>
    <x v="5"/>
    <x v="2"/>
  </r>
  <r>
    <s v="TX500845"/>
    <x v="1"/>
    <x v="0"/>
    <n v="83.6"/>
    <n v="83.6"/>
    <x v="34"/>
    <x v="31"/>
    <x v="2"/>
    <x v="2"/>
    <x v="1"/>
    <x v="0"/>
    <x v="19"/>
    <x v="2"/>
    <x v="5"/>
    <x v="2"/>
  </r>
  <r>
    <s v="TX500846"/>
    <x v="2"/>
    <x v="13"/>
    <n v="72.599999999999994"/>
    <n v="435.59999999999997"/>
    <x v="34"/>
    <x v="36"/>
    <x v="2"/>
    <x v="0"/>
    <x v="0"/>
    <x v="0"/>
    <x v="21"/>
    <x v="3"/>
    <x v="5"/>
    <x v="2"/>
  </r>
  <r>
    <s v="TX500847"/>
    <x v="5"/>
    <x v="28"/>
    <n v="69.099999999999994"/>
    <n v="1382"/>
    <x v="35"/>
    <x v="40"/>
    <x v="1"/>
    <x v="0"/>
    <x v="2"/>
    <x v="0"/>
    <x v="21"/>
    <x v="4"/>
    <x v="5"/>
    <x v="1"/>
  </r>
  <r>
    <s v="TX500848"/>
    <x v="4"/>
    <x v="1"/>
    <n v="22.6"/>
    <n v="45.2"/>
    <x v="35"/>
    <x v="31"/>
    <x v="2"/>
    <x v="1"/>
    <x v="2"/>
    <x v="0"/>
    <x v="21"/>
    <x v="1"/>
    <x v="5"/>
    <x v="2"/>
  </r>
  <r>
    <s v="TX500849"/>
    <x v="6"/>
    <x v="1"/>
    <n v="45.3"/>
    <n v="90.6"/>
    <x v="35"/>
    <x v="35"/>
    <x v="1"/>
    <x v="4"/>
    <x v="2"/>
    <x v="0"/>
    <x v="21"/>
    <x v="5"/>
    <x v="5"/>
    <x v="1"/>
  </r>
  <r>
    <s v="TX500850"/>
    <x v="2"/>
    <x v="1"/>
    <n v="115.1"/>
    <n v="230.2"/>
    <x v="35"/>
    <x v="38"/>
    <x v="2"/>
    <x v="1"/>
    <x v="0"/>
    <x v="0"/>
    <x v="1"/>
    <x v="3"/>
    <x v="5"/>
    <x v="2"/>
  </r>
  <r>
    <s v="TX500851"/>
    <x v="18"/>
    <x v="12"/>
    <n v="79"/>
    <n v="316"/>
    <x v="35"/>
    <x v="31"/>
    <x v="1"/>
    <x v="2"/>
    <x v="4"/>
    <x v="0"/>
    <x v="1"/>
    <x v="1"/>
    <x v="5"/>
    <x v="1"/>
  </r>
  <r>
    <s v="TX500852"/>
    <x v="6"/>
    <x v="9"/>
    <n v="52.8"/>
    <n v="264"/>
    <x v="35"/>
    <x v="38"/>
    <x v="2"/>
    <x v="0"/>
    <x v="0"/>
    <x v="0"/>
    <x v="42"/>
    <x v="3"/>
    <x v="5"/>
    <x v="2"/>
  </r>
  <r>
    <s v="TX500853"/>
    <x v="8"/>
    <x v="1"/>
    <n v="34.1"/>
    <n v="68.2"/>
    <x v="35"/>
    <x v="38"/>
    <x v="1"/>
    <x v="3"/>
    <x v="2"/>
    <x v="0"/>
    <x v="44"/>
    <x v="3"/>
    <x v="5"/>
    <x v="1"/>
  </r>
  <r>
    <s v="TX500854"/>
    <x v="6"/>
    <x v="9"/>
    <n v="107.9"/>
    <n v="539.5"/>
    <x v="35"/>
    <x v="36"/>
    <x v="2"/>
    <x v="0"/>
    <x v="2"/>
    <x v="0"/>
    <x v="50"/>
    <x v="7"/>
    <x v="5"/>
    <x v="2"/>
  </r>
  <r>
    <s v="TX500855"/>
    <x v="8"/>
    <x v="15"/>
    <n v="48.5"/>
    <n v="630.5"/>
    <x v="35"/>
    <x v="36"/>
    <x v="1"/>
    <x v="2"/>
    <x v="2"/>
    <x v="0"/>
    <x v="3"/>
    <x v="7"/>
    <x v="5"/>
    <x v="1"/>
  </r>
  <r>
    <s v="TX500856"/>
    <x v="5"/>
    <x v="2"/>
    <n v="34.700000000000003"/>
    <n v="104.10000000000001"/>
    <x v="35"/>
    <x v="38"/>
    <x v="0"/>
    <x v="4"/>
    <x v="1"/>
    <x v="0"/>
    <x v="3"/>
    <x v="3"/>
    <x v="5"/>
    <x v="0"/>
  </r>
  <r>
    <s v="TX500857"/>
    <x v="8"/>
    <x v="0"/>
    <n v="16.8"/>
    <n v="16.8"/>
    <x v="35"/>
    <x v="31"/>
    <x v="2"/>
    <x v="3"/>
    <x v="0"/>
    <x v="0"/>
    <x v="3"/>
    <x v="1"/>
    <x v="5"/>
    <x v="2"/>
  </r>
  <r>
    <s v="TX500858"/>
    <x v="8"/>
    <x v="13"/>
    <n v="18.3"/>
    <n v="109.80000000000001"/>
    <x v="35"/>
    <x v="39"/>
    <x v="2"/>
    <x v="0"/>
    <x v="0"/>
    <x v="0"/>
    <x v="3"/>
    <x v="2"/>
    <x v="5"/>
    <x v="2"/>
  </r>
  <r>
    <s v="TX500859"/>
    <x v="18"/>
    <x v="2"/>
    <n v="55.9"/>
    <n v="167.7"/>
    <x v="35"/>
    <x v="40"/>
    <x v="1"/>
    <x v="3"/>
    <x v="1"/>
    <x v="0"/>
    <x v="3"/>
    <x v="4"/>
    <x v="5"/>
    <x v="1"/>
  </r>
  <r>
    <s v="TX500860"/>
    <x v="8"/>
    <x v="2"/>
    <n v="39.200000000000003"/>
    <n v="117.60000000000001"/>
    <x v="35"/>
    <x v="31"/>
    <x v="2"/>
    <x v="0"/>
    <x v="1"/>
    <x v="0"/>
    <x v="3"/>
    <x v="1"/>
    <x v="5"/>
    <x v="2"/>
  </r>
  <r>
    <s v="TX500861"/>
    <x v="15"/>
    <x v="12"/>
    <n v="66.5"/>
    <n v="266"/>
    <x v="35"/>
    <x v="31"/>
    <x v="0"/>
    <x v="3"/>
    <x v="1"/>
    <x v="0"/>
    <x v="3"/>
    <x v="1"/>
    <x v="5"/>
    <x v="0"/>
  </r>
  <r>
    <s v="TX500862"/>
    <x v="6"/>
    <x v="13"/>
    <n v="52.1"/>
    <n v="312.60000000000002"/>
    <x v="35"/>
    <x v="31"/>
    <x v="1"/>
    <x v="1"/>
    <x v="1"/>
    <x v="0"/>
    <x v="16"/>
    <x v="1"/>
    <x v="5"/>
    <x v="1"/>
  </r>
  <r>
    <s v="TX500863"/>
    <x v="8"/>
    <x v="1"/>
    <n v="19"/>
    <n v="38"/>
    <x v="35"/>
    <x v="38"/>
    <x v="1"/>
    <x v="4"/>
    <x v="2"/>
    <x v="0"/>
    <x v="6"/>
    <x v="3"/>
    <x v="5"/>
    <x v="1"/>
  </r>
  <r>
    <s v="TX500864"/>
    <x v="7"/>
    <x v="2"/>
    <n v="84.8"/>
    <n v="254.39999999999998"/>
    <x v="35"/>
    <x v="31"/>
    <x v="2"/>
    <x v="2"/>
    <x v="0"/>
    <x v="0"/>
    <x v="8"/>
    <x v="1"/>
    <x v="5"/>
    <x v="2"/>
  </r>
  <r>
    <s v="TX500865"/>
    <x v="2"/>
    <x v="12"/>
    <n v="63.9"/>
    <n v="255.6"/>
    <x v="35"/>
    <x v="39"/>
    <x v="2"/>
    <x v="0"/>
    <x v="0"/>
    <x v="0"/>
    <x v="8"/>
    <x v="2"/>
    <x v="5"/>
    <x v="2"/>
  </r>
  <r>
    <s v="TX500866"/>
    <x v="2"/>
    <x v="2"/>
    <n v="65.5"/>
    <n v="196.5"/>
    <x v="35"/>
    <x v="36"/>
    <x v="2"/>
    <x v="1"/>
    <x v="1"/>
    <x v="0"/>
    <x v="8"/>
    <x v="7"/>
    <x v="5"/>
    <x v="2"/>
  </r>
  <r>
    <s v="TX500867"/>
    <x v="12"/>
    <x v="1"/>
    <n v="116.2"/>
    <n v="232.4"/>
    <x v="35"/>
    <x v="40"/>
    <x v="1"/>
    <x v="3"/>
    <x v="0"/>
    <x v="0"/>
    <x v="17"/>
    <x v="4"/>
    <x v="5"/>
    <x v="1"/>
  </r>
  <r>
    <s v="TX500868"/>
    <x v="10"/>
    <x v="12"/>
    <n v="22.9"/>
    <n v="91.6"/>
    <x v="35"/>
    <x v="31"/>
    <x v="2"/>
    <x v="2"/>
    <x v="1"/>
    <x v="0"/>
    <x v="38"/>
    <x v="1"/>
    <x v="5"/>
    <x v="2"/>
  </r>
  <r>
    <s v="TX500869"/>
    <x v="10"/>
    <x v="2"/>
    <n v="53.7"/>
    <n v="161.10000000000002"/>
    <x v="35"/>
    <x v="38"/>
    <x v="1"/>
    <x v="0"/>
    <x v="4"/>
    <x v="0"/>
    <x v="18"/>
    <x v="3"/>
    <x v="5"/>
    <x v="1"/>
  </r>
  <r>
    <s v="TX500870"/>
    <x v="6"/>
    <x v="9"/>
    <n v="43.2"/>
    <n v="216"/>
    <x v="35"/>
    <x v="31"/>
    <x v="2"/>
    <x v="0"/>
    <x v="0"/>
    <x v="0"/>
    <x v="19"/>
    <x v="1"/>
    <x v="5"/>
    <x v="2"/>
  </r>
  <r>
    <s v="TX500871"/>
    <x v="1"/>
    <x v="2"/>
    <n v="84.5"/>
    <n v="253.5"/>
    <x v="35"/>
    <x v="31"/>
    <x v="1"/>
    <x v="2"/>
    <x v="2"/>
    <x v="0"/>
    <x v="51"/>
    <x v="1"/>
    <x v="5"/>
    <x v="1"/>
  </r>
  <r>
    <s v="TX500872"/>
    <x v="3"/>
    <x v="1"/>
    <n v="42.2"/>
    <n v="84.4"/>
    <x v="35"/>
    <x v="38"/>
    <x v="2"/>
    <x v="1"/>
    <x v="2"/>
    <x v="0"/>
    <x v="1"/>
    <x v="3"/>
    <x v="5"/>
    <x v="2"/>
  </r>
  <r>
    <s v="TX500873"/>
    <x v="2"/>
    <x v="13"/>
    <n v="94.7"/>
    <n v="568.20000000000005"/>
    <x v="35"/>
    <x v="39"/>
    <x v="2"/>
    <x v="1"/>
    <x v="2"/>
    <x v="0"/>
    <x v="2"/>
    <x v="2"/>
    <x v="5"/>
    <x v="2"/>
  </r>
  <r>
    <s v="TX500874"/>
    <x v="8"/>
    <x v="16"/>
    <n v="16.7"/>
    <n v="300.59999999999997"/>
    <x v="35"/>
    <x v="43"/>
    <x v="2"/>
    <x v="0"/>
    <x v="2"/>
    <x v="0"/>
    <x v="2"/>
    <x v="13"/>
    <x v="5"/>
    <x v="2"/>
  </r>
  <r>
    <s v="TX500875"/>
    <x v="2"/>
    <x v="1"/>
    <n v="83.6"/>
    <n v="167.2"/>
    <x v="35"/>
    <x v="40"/>
    <x v="2"/>
    <x v="1"/>
    <x v="0"/>
    <x v="0"/>
    <x v="3"/>
    <x v="4"/>
    <x v="5"/>
    <x v="2"/>
  </r>
  <r>
    <s v="TX500876"/>
    <x v="7"/>
    <x v="13"/>
    <n v="33.6"/>
    <n v="201.60000000000002"/>
    <x v="36"/>
    <x v="31"/>
    <x v="2"/>
    <x v="3"/>
    <x v="0"/>
    <x v="0"/>
    <x v="3"/>
    <x v="3"/>
    <x v="5"/>
    <x v="2"/>
  </r>
  <r>
    <s v="TX500877"/>
    <x v="7"/>
    <x v="1"/>
    <n v="64.7"/>
    <n v="129.4"/>
    <x v="36"/>
    <x v="39"/>
    <x v="1"/>
    <x v="1"/>
    <x v="2"/>
    <x v="0"/>
    <x v="3"/>
    <x v="1"/>
    <x v="5"/>
    <x v="1"/>
  </r>
  <r>
    <s v="TX500878"/>
    <x v="0"/>
    <x v="2"/>
    <n v="15.7"/>
    <n v="47.099999999999994"/>
    <x v="36"/>
    <x v="44"/>
    <x v="2"/>
    <x v="0"/>
    <x v="0"/>
    <x v="0"/>
    <x v="3"/>
    <x v="4"/>
    <x v="5"/>
    <x v="2"/>
  </r>
  <r>
    <s v="TX500879"/>
    <x v="15"/>
    <x v="13"/>
    <n v="49.4"/>
    <n v="296.39999999999998"/>
    <x v="36"/>
    <x v="38"/>
    <x v="1"/>
    <x v="1"/>
    <x v="0"/>
    <x v="0"/>
    <x v="3"/>
    <x v="7"/>
    <x v="5"/>
    <x v="1"/>
  </r>
  <r>
    <s v="TX500880"/>
    <x v="10"/>
    <x v="13"/>
    <n v="37"/>
    <n v="222"/>
    <x v="36"/>
    <x v="35"/>
    <x v="2"/>
    <x v="1"/>
    <x v="2"/>
    <x v="0"/>
    <x v="3"/>
    <x v="2"/>
    <x v="5"/>
    <x v="2"/>
  </r>
  <r>
    <s v="TX500881"/>
    <x v="2"/>
    <x v="1"/>
    <n v="83.7"/>
    <n v="167.4"/>
    <x v="36"/>
    <x v="39"/>
    <x v="2"/>
    <x v="3"/>
    <x v="2"/>
    <x v="0"/>
    <x v="3"/>
    <x v="1"/>
    <x v="5"/>
    <x v="2"/>
  </r>
  <r>
    <s v="TX500882"/>
    <x v="1"/>
    <x v="9"/>
    <n v="35.1"/>
    <n v="175.5"/>
    <x v="36"/>
    <x v="31"/>
    <x v="2"/>
    <x v="0"/>
    <x v="0"/>
    <x v="0"/>
    <x v="3"/>
    <x v="3"/>
    <x v="5"/>
    <x v="2"/>
  </r>
  <r>
    <s v="TX500883"/>
    <x v="16"/>
    <x v="8"/>
    <n v="74"/>
    <n v="592"/>
    <x v="36"/>
    <x v="31"/>
    <x v="2"/>
    <x v="4"/>
    <x v="0"/>
    <x v="0"/>
    <x v="37"/>
    <x v="3"/>
    <x v="5"/>
    <x v="2"/>
  </r>
  <r>
    <s v="TX500884"/>
    <x v="6"/>
    <x v="25"/>
    <n v="55.5"/>
    <n v="1332"/>
    <x v="36"/>
    <x v="35"/>
    <x v="1"/>
    <x v="3"/>
    <x v="0"/>
    <x v="0"/>
    <x v="49"/>
    <x v="2"/>
    <x v="5"/>
    <x v="1"/>
  </r>
  <r>
    <s v="TX500885"/>
    <x v="11"/>
    <x v="1"/>
    <n v="38.9"/>
    <n v="77.8"/>
    <x v="36"/>
    <x v="39"/>
    <x v="2"/>
    <x v="1"/>
    <x v="2"/>
    <x v="0"/>
    <x v="25"/>
    <x v="1"/>
    <x v="5"/>
    <x v="2"/>
  </r>
  <r>
    <s v="TX500886"/>
    <x v="16"/>
    <x v="1"/>
    <n v="64.599999999999994"/>
    <n v="129.19999999999999"/>
    <x v="36"/>
    <x v="45"/>
    <x v="1"/>
    <x v="2"/>
    <x v="1"/>
    <x v="0"/>
    <x v="25"/>
    <x v="6"/>
    <x v="5"/>
    <x v="1"/>
  </r>
  <r>
    <s v="TX500887"/>
    <x v="2"/>
    <x v="2"/>
    <n v="95.3"/>
    <n v="285.89999999999998"/>
    <x v="36"/>
    <x v="31"/>
    <x v="1"/>
    <x v="0"/>
    <x v="0"/>
    <x v="0"/>
    <x v="5"/>
    <x v="3"/>
    <x v="5"/>
    <x v="1"/>
  </r>
  <r>
    <s v="TX500888"/>
    <x v="13"/>
    <x v="2"/>
    <n v="25.8"/>
    <n v="77.400000000000006"/>
    <x v="36"/>
    <x v="31"/>
    <x v="2"/>
    <x v="1"/>
    <x v="1"/>
    <x v="0"/>
    <x v="6"/>
    <x v="3"/>
    <x v="5"/>
    <x v="2"/>
  </r>
  <r>
    <s v="TX500889"/>
    <x v="0"/>
    <x v="1"/>
    <n v="11.6"/>
    <n v="23.2"/>
    <x v="36"/>
    <x v="37"/>
    <x v="2"/>
    <x v="1"/>
    <x v="1"/>
    <x v="0"/>
    <x v="6"/>
    <x v="5"/>
    <x v="5"/>
    <x v="2"/>
  </r>
  <r>
    <s v="TX500890"/>
    <x v="7"/>
    <x v="0"/>
    <n v="52.3"/>
    <n v="52.3"/>
    <x v="36"/>
    <x v="31"/>
    <x v="2"/>
    <x v="1"/>
    <x v="0"/>
    <x v="0"/>
    <x v="8"/>
    <x v="3"/>
    <x v="5"/>
    <x v="2"/>
  </r>
  <r>
    <s v="TX500891"/>
    <x v="2"/>
    <x v="7"/>
    <n v="112.2"/>
    <n v="1122"/>
    <x v="36"/>
    <x v="31"/>
    <x v="2"/>
    <x v="1"/>
    <x v="1"/>
    <x v="0"/>
    <x v="8"/>
    <x v="3"/>
    <x v="5"/>
    <x v="2"/>
  </r>
  <r>
    <s v="TX500892"/>
    <x v="4"/>
    <x v="9"/>
    <n v="34.6"/>
    <n v="173"/>
    <x v="36"/>
    <x v="39"/>
    <x v="1"/>
    <x v="2"/>
    <x v="0"/>
    <x v="0"/>
    <x v="8"/>
    <x v="1"/>
    <x v="5"/>
    <x v="1"/>
  </r>
  <r>
    <s v="TX500893"/>
    <x v="14"/>
    <x v="12"/>
    <n v="20.100000000000001"/>
    <n v="80.400000000000006"/>
    <x v="36"/>
    <x v="44"/>
    <x v="1"/>
    <x v="1"/>
    <x v="2"/>
    <x v="0"/>
    <x v="8"/>
    <x v="4"/>
    <x v="5"/>
    <x v="1"/>
  </r>
  <r>
    <s v="TX500894"/>
    <x v="2"/>
    <x v="12"/>
    <n v="56.4"/>
    <n v="225.6"/>
    <x v="36"/>
    <x v="39"/>
    <x v="2"/>
    <x v="2"/>
    <x v="0"/>
    <x v="0"/>
    <x v="10"/>
    <x v="1"/>
    <x v="5"/>
    <x v="2"/>
  </r>
  <r>
    <s v="TX500895"/>
    <x v="13"/>
    <x v="11"/>
    <n v="55.3"/>
    <n v="497.7"/>
    <x v="36"/>
    <x v="39"/>
    <x v="2"/>
    <x v="1"/>
    <x v="4"/>
    <x v="0"/>
    <x v="11"/>
    <x v="1"/>
    <x v="5"/>
    <x v="2"/>
  </r>
  <r>
    <s v="TX500896"/>
    <x v="2"/>
    <x v="31"/>
    <n v="75.5"/>
    <n v="2114"/>
    <x v="36"/>
    <x v="31"/>
    <x v="2"/>
    <x v="0"/>
    <x v="0"/>
    <x v="0"/>
    <x v="11"/>
    <x v="3"/>
    <x v="5"/>
    <x v="2"/>
  </r>
  <r>
    <s v="TX500897"/>
    <x v="8"/>
    <x v="0"/>
    <n v="23.6"/>
    <n v="23.6"/>
    <x v="36"/>
    <x v="40"/>
    <x v="2"/>
    <x v="0"/>
    <x v="0"/>
    <x v="0"/>
    <x v="19"/>
    <x v="0"/>
    <x v="5"/>
    <x v="2"/>
  </r>
  <r>
    <s v="TX500898"/>
    <x v="9"/>
    <x v="1"/>
    <n v="70.7"/>
    <n v="141.4"/>
    <x v="36"/>
    <x v="39"/>
    <x v="2"/>
    <x v="2"/>
    <x v="0"/>
    <x v="0"/>
    <x v="19"/>
    <x v="1"/>
    <x v="5"/>
    <x v="2"/>
  </r>
  <r>
    <s v="TX500899"/>
    <x v="12"/>
    <x v="1"/>
    <n v="43.2"/>
    <n v="86.4"/>
    <x v="36"/>
    <x v="31"/>
    <x v="2"/>
    <x v="2"/>
    <x v="0"/>
    <x v="0"/>
    <x v="31"/>
    <x v="3"/>
    <x v="5"/>
    <x v="2"/>
  </r>
  <r>
    <s v="TX500900"/>
    <x v="9"/>
    <x v="11"/>
    <n v="70"/>
    <n v="630"/>
    <x v="36"/>
    <x v="31"/>
    <x v="0"/>
    <x v="1"/>
    <x v="0"/>
    <x v="0"/>
    <x v="52"/>
    <x v="3"/>
    <x v="5"/>
    <x v="0"/>
  </r>
  <r>
    <s v="TX500901"/>
    <x v="0"/>
    <x v="1"/>
    <n v="20.5"/>
    <n v="41"/>
    <x v="36"/>
    <x v="39"/>
    <x v="2"/>
    <x v="2"/>
    <x v="4"/>
    <x v="0"/>
    <x v="13"/>
    <x v="1"/>
    <x v="5"/>
    <x v="2"/>
  </r>
  <r>
    <s v="TX500902"/>
    <x v="0"/>
    <x v="12"/>
    <n v="29.1"/>
    <n v="116.4"/>
    <x v="36"/>
    <x v="31"/>
    <x v="2"/>
    <x v="3"/>
    <x v="0"/>
    <x v="0"/>
    <x v="28"/>
    <x v="3"/>
    <x v="5"/>
    <x v="2"/>
  </r>
  <r>
    <s v="TX500903"/>
    <x v="6"/>
    <x v="11"/>
    <n v="53.6"/>
    <n v="482.40000000000003"/>
    <x v="36"/>
    <x v="31"/>
    <x v="1"/>
    <x v="2"/>
    <x v="1"/>
    <x v="0"/>
    <x v="3"/>
    <x v="3"/>
    <x v="5"/>
    <x v="1"/>
  </r>
  <r>
    <s v="TX500904"/>
    <x v="6"/>
    <x v="9"/>
    <n v="72.3"/>
    <n v="361.5"/>
    <x v="36"/>
    <x v="39"/>
    <x v="2"/>
    <x v="1"/>
    <x v="0"/>
    <x v="0"/>
    <x v="3"/>
    <x v="1"/>
    <x v="5"/>
    <x v="2"/>
  </r>
  <r>
    <s v="TX500905"/>
    <x v="13"/>
    <x v="12"/>
    <n v="22.6"/>
    <n v="90.4"/>
    <x v="36"/>
    <x v="35"/>
    <x v="3"/>
    <x v="0"/>
    <x v="1"/>
    <x v="0"/>
    <x v="3"/>
    <x v="2"/>
    <x v="5"/>
    <x v="3"/>
  </r>
  <r>
    <s v="TX500906"/>
    <x v="9"/>
    <x v="1"/>
    <n v="44.2"/>
    <n v="88.4"/>
    <x v="36"/>
    <x v="37"/>
    <x v="0"/>
    <x v="2"/>
    <x v="4"/>
    <x v="0"/>
    <x v="3"/>
    <x v="5"/>
    <x v="5"/>
    <x v="0"/>
  </r>
  <r>
    <s v="TX500907"/>
    <x v="9"/>
    <x v="2"/>
    <n v="94.1"/>
    <n v="282.29999999999995"/>
    <x v="36"/>
    <x v="46"/>
    <x v="2"/>
    <x v="2"/>
    <x v="2"/>
    <x v="0"/>
    <x v="3"/>
    <x v="10"/>
    <x v="5"/>
    <x v="2"/>
  </r>
  <r>
    <s v="TX500908"/>
    <x v="8"/>
    <x v="2"/>
    <n v="17.899999999999999"/>
    <n v="53.699999999999996"/>
    <x v="36"/>
    <x v="39"/>
    <x v="1"/>
    <x v="1"/>
    <x v="1"/>
    <x v="0"/>
    <x v="3"/>
    <x v="1"/>
    <x v="5"/>
    <x v="1"/>
  </r>
  <r>
    <s v="TX500909"/>
    <x v="12"/>
    <x v="3"/>
    <n v="52.7"/>
    <n v="368.90000000000003"/>
    <x v="36"/>
    <x v="31"/>
    <x v="1"/>
    <x v="1"/>
    <x v="1"/>
    <x v="0"/>
    <x v="3"/>
    <x v="3"/>
    <x v="5"/>
    <x v="1"/>
  </r>
  <r>
    <s v="TX500910"/>
    <x v="8"/>
    <x v="0"/>
    <n v="36.799999999999997"/>
    <n v="36.799999999999997"/>
    <x v="36"/>
    <x v="38"/>
    <x v="0"/>
    <x v="0"/>
    <x v="2"/>
    <x v="0"/>
    <x v="3"/>
    <x v="7"/>
    <x v="5"/>
    <x v="0"/>
  </r>
  <r>
    <s v="TX500911"/>
    <x v="4"/>
    <x v="0"/>
    <n v="52.5"/>
    <n v="52.5"/>
    <x v="36"/>
    <x v="31"/>
    <x v="1"/>
    <x v="0"/>
    <x v="1"/>
    <x v="0"/>
    <x v="6"/>
    <x v="3"/>
    <x v="5"/>
    <x v="1"/>
  </r>
  <r>
    <s v="TX500912"/>
    <x v="2"/>
    <x v="1"/>
    <n v="133.80000000000001"/>
    <n v="267.60000000000002"/>
    <x v="36"/>
    <x v="39"/>
    <x v="1"/>
    <x v="0"/>
    <x v="1"/>
    <x v="0"/>
    <x v="7"/>
    <x v="1"/>
    <x v="5"/>
    <x v="1"/>
  </r>
  <r>
    <s v="TX500913"/>
    <x v="6"/>
    <x v="1"/>
    <n v="53.2"/>
    <n v="106.4"/>
    <x v="36"/>
    <x v="39"/>
    <x v="1"/>
    <x v="0"/>
    <x v="0"/>
    <x v="0"/>
    <x v="17"/>
    <x v="1"/>
    <x v="5"/>
    <x v="1"/>
  </r>
  <r>
    <s v="TX500914"/>
    <x v="14"/>
    <x v="13"/>
    <n v="18.7"/>
    <n v="112.19999999999999"/>
    <x v="36"/>
    <x v="39"/>
    <x v="0"/>
    <x v="0"/>
    <x v="1"/>
    <x v="0"/>
    <x v="10"/>
    <x v="1"/>
    <x v="5"/>
    <x v="0"/>
  </r>
  <r>
    <s v="TX500915"/>
    <x v="6"/>
    <x v="12"/>
    <n v="108.8"/>
    <n v="435.2"/>
    <x v="36"/>
    <x v="31"/>
    <x v="2"/>
    <x v="3"/>
    <x v="2"/>
    <x v="0"/>
    <x v="11"/>
    <x v="3"/>
    <x v="5"/>
    <x v="2"/>
  </r>
  <r>
    <s v="TX500916"/>
    <x v="15"/>
    <x v="9"/>
    <n v="38.5"/>
    <n v="192.5"/>
    <x v="36"/>
    <x v="37"/>
    <x v="2"/>
    <x v="0"/>
    <x v="1"/>
    <x v="0"/>
    <x v="14"/>
    <x v="5"/>
    <x v="5"/>
    <x v="2"/>
  </r>
  <r>
    <s v="TX500917"/>
    <x v="10"/>
    <x v="7"/>
    <n v="46.5"/>
    <n v="465"/>
    <x v="36"/>
    <x v="39"/>
    <x v="1"/>
    <x v="2"/>
    <x v="1"/>
    <x v="0"/>
    <x v="2"/>
    <x v="1"/>
    <x v="5"/>
    <x v="1"/>
  </r>
  <r>
    <s v="TX500918"/>
    <x v="2"/>
    <x v="2"/>
    <n v="75.8"/>
    <n v="227.39999999999998"/>
    <x v="36"/>
    <x v="37"/>
    <x v="2"/>
    <x v="1"/>
    <x v="4"/>
    <x v="0"/>
    <x v="44"/>
    <x v="5"/>
    <x v="5"/>
    <x v="2"/>
  </r>
  <r>
    <s v="TX500919"/>
    <x v="8"/>
    <x v="0"/>
    <n v="20.9"/>
    <n v="20.9"/>
    <x v="36"/>
    <x v="37"/>
    <x v="1"/>
    <x v="0"/>
    <x v="0"/>
    <x v="0"/>
    <x v="22"/>
    <x v="5"/>
    <x v="5"/>
    <x v="1"/>
  </r>
  <r>
    <s v="TX500920"/>
    <x v="18"/>
    <x v="2"/>
    <n v="47.4"/>
    <n v="142.19999999999999"/>
    <x v="36"/>
    <x v="35"/>
    <x v="2"/>
    <x v="0"/>
    <x v="0"/>
    <x v="0"/>
    <x v="3"/>
    <x v="2"/>
    <x v="5"/>
    <x v="2"/>
  </r>
  <r>
    <s v="TX500921"/>
    <x v="9"/>
    <x v="1"/>
    <n v="53.8"/>
    <n v="107.6"/>
    <x v="36"/>
    <x v="31"/>
    <x v="0"/>
    <x v="0"/>
    <x v="1"/>
    <x v="0"/>
    <x v="3"/>
    <x v="3"/>
    <x v="5"/>
    <x v="0"/>
  </r>
  <r>
    <s v="TX500922"/>
    <x v="8"/>
    <x v="2"/>
    <n v="24.6"/>
    <n v="73.800000000000011"/>
    <x v="36"/>
    <x v="39"/>
    <x v="3"/>
    <x v="1"/>
    <x v="2"/>
    <x v="0"/>
    <x v="3"/>
    <x v="1"/>
    <x v="5"/>
    <x v="3"/>
  </r>
  <r>
    <s v="TX500923"/>
    <x v="9"/>
    <x v="2"/>
    <n v="70.900000000000006"/>
    <n v="212.70000000000002"/>
    <x v="36"/>
    <x v="40"/>
    <x v="2"/>
    <x v="2"/>
    <x v="2"/>
    <x v="0"/>
    <x v="3"/>
    <x v="0"/>
    <x v="5"/>
    <x v="2"/>
  </r>
  <r>
    <s v="TX500924"/>
    <x v="17"/>
    <x v="2"/>
    <n v="31.9"/>
    <n v="95.699999999999989"/>
    <x v="36"/>
    <x v="39"/>
    <x v="2"/>
    <x v="2"/>
    <x v="2"/>
    <x v="0"/>
    <x v="3"/>
    <x v="1"/>
    <x v="5"/>
    <x v="2"/>
  </r>
  <r>
    <s v="TX500925"/>
    <x v="0"/>
    <x v="1"/>
    <n v="20.399999999999999"/>
    <n v="40.799999999999997"/>
    <x v="36"/>
    <x v="37"/>
    <x v="1"/>
    <x v="3"/>
    <x v="2"/>
    <x v="0"/>
    <x v="3"/>
    <x v="5"/>
    <x v="5"/>
    <x v="1"/>
  </r>
  <r>
    <s v="TX500926"/>
    <x v="8"/>
    <x v="1"/>
    <n v="18.600000000000001"/>
    <n v="37.200000000000003"/>
    <x v="36"/>
    <x v="39"/>
    <x v="0"/>
    <x v="0"/>
    <x v="1"/>
    <x v="0"/>
    <x v="3"/>
    <x v="1"/>
    <x v="5"/>
    <x v="0"/>
  </r>
  <r>
    <s v="TX500927"/>
    <x v="4"/>
    <x v="9"/>
    <n v="48.3"/>
    <n v="241.5"/>
    <x v="36"/>
    <x v="39"/>
    <x v="2"/>
    <x v="1"/>
    <x v="0"/>
    <x v="0"/>
    <x v="3"/>
    <x v="1"/>
    <x v="5"/>
    <x v="2"/>
  </r>
  <r>
    <s v="TX500928"/>
    <x v="0"/>
    <x v="12"/>
    <n v="27.7"/>
    <n v="110.8"/>
    <x v="36"/>
    <x v="39"/>
    <x v="2"/>
    <x v="0"/>
    <x v="0"/>
    <x v="0"/>
    <x v="3"/>
    <x v="1"/>
    <x v="5"/>
    <x v="2"/>
  </r>
  <r>
    <s v="TX500929"/>
    <x v="4"/>
    <x v="9"/>
    <n v="22.5"/>
    <n v="112.5"/>
    <x v="36"/>
    <x v="39"/>
    <x v="2"/>
    <x v="4"/>
    <x v="2"/>
    <x v="0"/>
    <x v="3"/>
    <x v="1"/>
    <x v="5"/>
    <x v="2"/>
  </r>
  <r>
    <s v="TX500930"/>
    <x v="17"/>
    <x v="9"/>
    <n v="21.6"/>
    <n v="108"/>
    <x v="36"/>
    <x v="42"/>
    <x v="2"/>
    <x v="0"/>
    <x v="1"/>
    <x v="0"/>
    <x v="3"/>
    <x v="9"/>
    <x v="5"/>
    <x v="2"/>
  </r>
  <r>
    <s v="TX500931"/>
    <x v="10"/>
    <x v="3"/>
    <n v="26.3"/>
    <n v="184.1"/>
    <x v="36"/>
    <x v="38"/>
    <x v="2"/>
    <x v="2"/>
    <x v="1"/>
    <x v="0"/>
    <x v="3"/>
    <x v="7"/>
    <x v="5"/>
    <x v="2"/>
  </r>
  <r>
    <s v="TX500932"/>
    <x v="6"/>
    <x v="3"/>
    <n v="103"/>
    <n v="721"/>
    <x v="37"/>
    <x v="39"/>
    <x v="1"/>
    <x v="0"/>
    <x v="2"/>
    <x v="0"/>
    <x v="6"/>
    <x v="3"/>
    <x v="5"/>
    <x v="1"/>
  </r>
  <r>
    <s v="TX500933"/>
    <x v="5"/>
    <x v="20"/>
    <n v="46.6"/>
    <n v="699"/>
    <x v="37"/>
    <x v="39"/>
    <x v="2"/>
    <x v="0"/>
    <x v="1"/>
    <x v="0"/>
    <x v="6"/>
    <x v="3"/>
    <x v="5"/>
    <x v="2"/>
  </r>
  <r>
    <s v="TX500934"/>
    <x v="0"/>
    <x v="9"/>
    <n v="32.200000000000003"/>
    <n v="161"/>
    <x v="37"/>
    <x v="37"/>
    <x v="2"/>
    <x v="0"/>
    <x v="2"/>
    <x v="0"/>
    <x v="36"/>
    <x v="2"/>
    <x v="5"/>
    <x v="2"/>
  </r>
  <r>
    <s v="TX500935"/>
    <x v="8"/>
    <x v="2"/>
    <n v="22"/>
    <n v="66"/>
    <x v="37"/>
    <x v="42"/>
    <x v="1"/>
    <x v="1"/>
    <x v="0"/>
    <x v="0"/>
    <x v="7"/>
    <x v="6"/>
    <x v="5"/>
    <x v="1"/>
  </r>
  <r>
    <s v="TX500936"/>
    <x v="0"/>
    <x v="1"/>
    <n v="25.2"/>
    <n v="50.4"/>
    <x v="37"/>
    <x v="40"/>
    <x v="2"/>
    <x v="0"/>
    <x v="0"/>
    <x v="0"/>
    <x v="7"/>
    <x v="5"/>
    <x v="5"/>
    <x v="2"/>
  </r>
  <r>
    <s v="TX500937"/>
    <x v="1"/>
    <x v="13"/>
    <n v="68.7"/>
    <n v="412.20000000000005"/>
    <x v="37"/>
    <x v="35"/>
    <x v="1"/>
    <x v="4"/>
    <x v="0"/>
    <x v="0"/>
    <x v="8"/>
    <x v="1"/>
    <x v="5"/>
    <x v="1"/>
  </r>
  <r>
    <s v="TX500938"/>
    <x v="0"/>
    <x v="2"/>
    <n v="22.2"/>
    <n v="66.599999999999994"/>
    <x v="37"/>
    <x v="37"/>
    <x v="1"/>
    <x v="2"/>
    <x v="2"/>
    <x v="0"/>
    <x v="8"/>
    <x v="2"/>
    <x v="5"/>
    <x v="1"/>
  </r>
  <r>
    <s v="TX500939"/>
    <x v="1"/>
    <x v="3"/>
    <n v="36"/>
    <n v="252"/>
    <x v="37"/>
    <x v="39"/>
    <x v="2"/>
    <x v="1"/>
    <x v="0"/>
    <x v="0"/>
    <x v="8"/>
    <x v="3"/>
    <x v="5"/>
    <x v="2"/>
  </r>
  <r>
    <s v="TX500940"/>
    <x v="18"/>
    <x v="0"/>
    <n v="50.6"/>
    <n v="50.6"/>
    <x v="37"/>
    <x v="35"/>
    <x v="2"/>
    <x v="0"/>
    <x v="1"/>
    <x v="0"/>
    <x v="8"/>
    <x v="1"/>
    <x v="5"/>
    <x v="2"/>
  </r>
  <r>
    <s v="TX500941"/>
    <x v="15"/>
    <x v="1"/>
    <n v="44.9"/>
    <n v="89.8"/>
    <x v="37"/>
    <x v="35"/>
    <x v="1"/>
    <x v="0"/>
    <x v="1"/>
    <x v="0"/>
    <x v="8"/>
    <x v="1"/>
    <x v="5"/>
    <x v="1"/>
  </r>
  <r>
    <s v="TX500942"/>
    <x v="6"/>
    <x v="2"/>
    <n v="71.599999999999994"/>
    <n v="214.79999999999998"/>
    <x v="37"/>
    <x v="40"/>
    <x v="1"/>
    <x v="1"/>
    <x v="2"/>
    <x v="0"/>
    <x v="10"/>
    <x v="5"/>
    <x v="5"/>
    <x v="1"/>
  </r>
  <r>
    <s v="TX500943"/>
    <x v="6"/>
    <x v="13"/>
    <n v="51.5"/>
    <n v="309"/>
    <x v="37"/>
    <x v="35"/>
    <x v="0"/>
    <x v="4"/>
    <x v="0"/>
    <x v="0"/>
    <x v="11"/>
    <x v="1"/>
    <x v="5"/>
    <x v="0"/>
  </r>
  <r>
    <s v="TX500944"/>
    <x v="7"/>
    <x v="9"/>
    <n v="55.5"/>
    <n v="277.5"/>
    <x v="37"/>
    <x v="39"/>
    <x v="1"/>
    <x v="1"/>
    <x v="1"/>
    <x v="0"/>
    <x v="11"/>
    <x v="3"/>
    <x v="5"/>
    <x v="1"/>
  </r>
  <r>
    <s v="TX500945"/>
    <x v="6"/>
    <x v="0"/>
    <n v="51.7"/>
    <n v="51.7"/>
    <x v="37"/>
    <x v="47"/>
    <x v="1"/>
    <x v="2"/>
    <x v="0"/>
    <x v="0"/>
    <x v="19"/>
    <x v="12"/>
    <x v="5"/>
    <x v="1"/>
  </r>
  <r>
    <s v="TX500946"/>
    <x v="8"/>
    <x v="38"/>
    <n v="45.5"/>
    <n v="955.5"/>
    <x v="37"/>
    <x v="39"/>
    <x v="2"/>
    <x v="3"/>
    <x v="2"/>
    <x v="0"/>
    <x v="19"/>
    <x v="3"/>
    <x v="5"/>
    <x v="2"/>
  </r>
  <r>
    <s v="TX500947"/>
    <x v="8"/>
    <x v="1"/>
    <n v="33.799999999999997"/>
    <n v="67.599999999999994"/>
    <x v="37"/>
    <x v="45"/>
    <x v="2"/>
    <x v="3"/>
    <x v="0"/>
    <x v="0"/>
    <x v="20"/>
    <x v="4"/>
    <x v="5"/>
    <x v="2"/>
  </r>
  <r>
    <s v="TX500948"/>
    <x v="3"/>
    <x v="2"/>
    <n v="76.5"/>
    <n v="229.5"/>
    <x v="37"/>
    <x v="39"/>
    <x v="2"/>
    <x v="0"/>
    <x v="1"/>
    <x v="0"/>
    <x v="21"/>
    <x v="3"/>
    <x v="5"/>
    <x v="2"/>
  </r>
  <r>
    <s v="TX500949"/>
    <x v="9"/>
    <x v="2"/>
    <n v="42.6"/>
    <n v="127.80000000000001"/>
    <x v="37"/>
    <x v="45"/>
    <x v="2"/>
    <x v="2"/>
    <x v="2"/>
    <x v="0"/>
    <x v="2"/>
    <x v="4"/>
    <x v="5"/>
    <x v="2"/>
  </r>
  <r>
    <s v="TX500950"/>
    <x v="6"/>
    <x v="2"/>
    <n v="44.1"/>
    <n v="132.30000000000001"/>
    <x v="37"/>
    <x v="35"/>
    <x v="2"/>
    <x v="1"/>
    <x v="1"/>
    <x v="0"/>
    <x v="22"/>
    <x v="1"/>
    <x v="5"/>
    <x v="2"/>
  </r>
  <r>
    <s v="TX500951"/>
    <x v="8"/>
    <x v="1"/>
    <n v="40.9"/>
    <n v="81.8"/>
    <x v="37"/>
    <x v="40"/>
    <x v="1"/>
    <x v="0"/>
    <x v="0"/>
    <x v="0"/>
    <x v="3"/>
    <x v="5"/>
    <x v="5"/>
    <x v="1"/>
  </r>
  <r>
    <s v="TX500952"/>
    <x v="9"/>
    <x v="2"/>
    <n v="49.1"/>
    <n v="147.30000000000001"/>
    <x v="37"/>
    <x v="40"/>
    <x v="2"/>
    <x v="3"/>
    <x v="1"/>
    <x v="0"/>
    <x v="3"/>
    <x v="5"/>
    <x v="5"/>
    <x v="2"/>
  </r>
  <r>
    <s v="TX500953"/>
    <x v="18"/>
    <x v="0"/>
    <n v="85.3"/>
    <n v="85.3"/>
    <x v="37"/>
    <x v="40"/>
    <x v="1"/>
    <x v="1"/>
    <x v="1"/>
    <x v="0"/>
    <x v="3"/>
    <x v="5"/>
    <x v="5"/>
    <x v="1"/>
  </r>
  <r>
    <s v="TX500954"/>
    <x v="6"/>
    <x v="12"/>
    <n v="43.1"/>
    <n v="172.4"/>
    <x v="38"/>
    <x v="40"/>
    <x v="1"/>
    <x v="0"/>
    <x v="0"/>
    <x v="0"/>
    <x v="3"/>
    <x v="2"/>
    <x v="5"/>
    <x v="1"/>
  </r>
  <r>
    <s v="TX500955"/>
    <x v="4"/>
    <x v="12"/>
    <n v="46.2"/>
    <n v="184.8"/>
    <x v="38"/>
    <x v="35"/>
    <x v="1"/>
    <x v="2"/>
    <x v="0"/>
    <x v="0"/>
    <x v="3"/>
    <x v="3"/>
    <x v="5"/>
    <x v="1"/>
  </r>
  <r>
    <s v="TX500956"/>
    <x v="1"/>
    <x v="0"/>
    <n v="74.400000000000006"/>
    <n v="74.400000000000006"/>
    <x v="38"/>
    <x v="37"/>
    <x v="1"/>
    <x v="4"/>
    <x v="2"/>
    <x v="0"/>
    <x v="3"/>
    <x v="1"/>
    <x v="5"/>
    <x v="1"/>
  </r>
  <r>
    <s v="TX500957"/>
    <x v="17"/>
    <x v="1"/>
    <n v="51.2"/>
    <n v="102.4"/>
    <x v="38"/>
    <x v="35"/>
    <x v="1"/>
    <x v="1"/>
    <x v="0"/>
    <x v="0"/>
    <x v="3"/>
    <x v="3"/>
    <x v="5"/>
    <x v="1"/>
  </r>
  <r>
    <s v="TX500958"/>
    <x v="14"/>
    <x v="12"/>
    <n v="11.8"/>
    <n v="47.2"/>
    <x v="38"/>
    <x v="39"/>
    <x v="1"/>
    <x v="2"/>
    <x v="0"/>
    <x v="0"/>
    <x v="3"/>
    <x v="7"/>
    <x v="5"/>
    <x v="1"/>
  </r>
  <r>
    <s v="TX500959"/>
    <x v="10"/>
    <x v="6"/>
    <n v="40.799999999999997"/>
    <n v="1101.5999999999999"/>
    <x v="38"/>
    <x v="35"/>
    <x v="2"/>
    <x v="3"/>
    <x v="2"/>
    <x v="0"/>
    <x v="3"/>
    <x v="3"/>
    <x v="5"/>
    <x v="2"/>
  </r>
  <r>
    <s v="TX500960"/>
    <x v="8"/>
    <x v="0"/>
    <n v="24.7"/>
    <n v="24.7"/>
    <x v="38"/>
    <x v="37"/>
    <x v="2"/>
    <x v="2"/>
    <x v="1"/>
    <x v="0"/>
    <x v="3"/>
    <x v="1"/>
    <x v="5"/>
    <x v="2"/>
  </r>
  <r>
    <s v="TX500961"/>
    <x v="8"/>
    <x v="3"/>
    <n v="22.1"/>
    <n v="154.70000000000002"/>
    <x v="38"/>
    <x v="39"/>
    <x v="2"/>
    <x v="2"/>
    <x v="4"/>
    <x v="0"/>
    <x v="3"/>
    <x v="7"/>
    <x v="5"/>
    <x v="2"/>
  </r>
  <r>
    <s v="TX500962"/>
    <x v="8"/>
    <x v="0"/>
    <n v="18.100000000000001"/>
    <n v="18.100000000000001"/>
    <x v="38"/>
    <x v="44"/>
    <x v="1"/>
    <x v="3"/>
    <x v="2"/>
    <x v="0"/>
    <x v="3"/>
    <x v="5"/>
    <x v="5"/>
    <x v="1"/>
  </r>
  <r>
    <s v="TX500963"/>
    <x v="17"/>
    <x v="1"/>
    <n v="58.8"/>
    <n v="117.6"/>
    <x v="38"/>
    <x v="40"/>
    <x v="2"/>
    <x v="0"/>
    <x v="0"/>
    <x v="0"/>
    <x v="25"/>
    <x v="2"/>
    <x v="5"/>
    <x v="2"/>
  </r>
  <r>
    <s v="TX500964"/>
    <x v="18"/>
    <x v="1"/>
    <n v="30.8"/>
    <n v="61.6"/>
    <x v="38"/>
    <x v="35"/>
    <x v="2"/>
    <x v="0"/>
    <x v="0"/>
    <x v="0"/>
    <x v="6"/>
    <x v="3"/>
    <x v="5"/>
    <x v="2"/>
  </r>
  <r>
    <s v="TX500965"/>
    <x v="0"/>
    <x v="1"/>
    <n v="12"/>
    <n v="24"/>
    <x v="38"/>
    <x v="44"/>
    <x v="2"/>
    <x v="0"/>
    <x v="0"/>
    <x v="0"/>
    <x v="6"/>
    <x v="5"/>
    <x v="5"/>
    <x v="2"/>
  </r>
  <r>
    <s v="TX500966"/>
    <x v="0"/>
    <x v="12"/>
    <n v="13.6"/>
    <n v="54.4"/>
    <x v="38"/>
    <x v="40"/>
    <x v="1"/>
    <x v="2"/>
    <x v="0"/>
    <x v="0"/>
    <x v="6"/>
    <x v="2"/>
    <x v="5"/>
    <x v="1"/>
  </r>
  <r>
    <s v="TX500967"/>
    <x v="0"/>
    <x v="0"/>
    <n v="17.899999999999999"/>
    <n v="17.899999999999999"/>
    <x v="38"/>
    <x v="35"/>
    <x v="1"/>
    <x v="3"/>
    <x v="0"/>
    <x v="0"/>
    <x v="6"/>
    <x v="3"/>
    <x v="5"/>
    <x v="1"/>
  </r>
  <r>
    <s v="TX500968"/>
    <x v="9"/>
    <x v="1"/>
    <n v="38.6"/>
    <n v="77.2"/>
    <x v="38"/>
    <x v="44"/>
    <x v="2"/>
    <x v="4"/>
    <x v="0"/>
    <x v="0"/>
    <x v="7"/>
    <x v="5"/>
    <x v="5"/>
    <x v="2"/>
  </r>
  <r>
    <s v="TX500969"/>
    <x v="5"/>
    <x v="9"/>
    <n v="32.700000000000003"/>
    <n v="163.5"/>
    <x v="38"/>
    <x v="35"/>
    <x v="1"/>
    <x v="2"/>
    <x v="2"/>
    <x v="0"/>
    <x v="8"/>
    <x v="3"/>
    <x v="5"/>
    <x v="1"/>
  </r>
  <r>
    <s v="TX500970"/>
    <x v="3"/>
    <x v="1"/>
    <n v="111.4"/>
    <n v="222.8"/>
    <x v="38"/>
    <x v="35"/>
    <x v="2"/>
    <x v="1"/>
    <x v="0"/>
    <x v="0"/>
    <x v="8"/>
    <x v="3"/>
    <x v="5"/>
    <x v="2"/>
  </r>
  <r>
    <s v="TX500971"/>
    <x v="2"/>
    <x v="13"/>
    <n v="80.3"/>
    <n v="481.79999999999995"/>
    <x v="38"/>
    <x v="37"/>
    <x v="2"/>
    <x v="1"/>
    <x v="0"/>
    <x v="0"/>
    <x v="8"/>
    <x v="1"/>
    <x v="5"/>
    <x v="2"/>
  </r>
  <r>
    <s v="TX500972"/>
    <x v="6"/>
    <x v="1"/>
    <n v="58.9"/>
    <n v="117.8"/>
    <x v="38"/>
    <x v="35"/>
    <x v="1"/>
    <x v="1"/>
    <x v="0"/>
    <x v="0"/>
    <x v="8"/>
    <x v="3"/>
    <x v="5"/>
    <x v="1"/>
  </r>
  <r>
    <s v="TX500973"/>
    <x v="6"/>
    <x v="2"/>
    <n v="51.9"/>
    <n v="155.69999999999999"/>
    <x v="38"/>
    <x v="37"/>
    <x v="2"/>
    <x v="1"/>
    <x v="4"/>
    <x v="0"/>
    <x v="8"/>
    <x v="1"/>
    <x v="5"/>
    <x v="2"/>
  </r>
  <r>
    <s v="TX500974"/>
    <x v="2"/>
    <x v="2"/>
    <n v="50.3"/>
    <n v="150.89999999999998"/>
    <x v="38"/>
    <x v="35"/>
    <x v="1"/>
    <x v="2"/>
    <x v="0"/>
    <x v="0"/>
    <x v="17"/>
    <x v="3"/>
    <x v="5"/>
    <x v="1"/>
  </r>
  <r>
    <s v="TX500975"/>
    <x v="11"/>
    <x v="13"/>
    <n v="45"/>
    <n v="270"/>
    <x v="38"/>
    <x v="42"/>
    <x v="2"/>
    <x v="3"/>
    <x v="0"/>
    <x v="0"/>
    <x v="9"/>
    <x v="4"/>
    <x v="5"/>
    <x v="2"/>
  </r>
  <r>
    <s v="TX500976"/>
    <x v="10"/>
    <x v="13"/>
    <n v="44.7"/>
    <n v="268.20000000000005"/>
    <x v="38"/>
    <x v="37"/>
    <x v="2"/>
    <x v="2"/>
    <x v="0"/>
    <x v="0"/>
    <x v="11"/>
    <x v="1"/>
    <x v="5"/>
    <x v="2"/>
  </r>
  <r>
    <s v="TX500977"/>
    <x v="18"/>
    <x v="20"/>
    <n v="33"/>
    <n v="495"/>
    <x v="38"/>
    <x v="35"/>
    <x v="2"/>
    <x v="2"/>
    <x v="0"/>
    <x v="0"/>
    <x v="11"/>
    <x v="3"/>
    <x v="5"/>
    <x v="2"/>
  </r>
  <r>
    <s v="TX500978"/>
    <x v="1"/>
    <x v="9"/>
    <n v="44.9"/>
    <n v="224.5"/>
    <x v="38"/>
    <x v="40"/>
    <x v="2"/>
    <x v="2"/>
    <x v="2"/>
    <x v="0"/>
    <x v="18"/>
    <x v="2"/>
    <x v="5"/>
    <x v="2"/>
  </r>
  <r>
    <s v="TX500979"/>
    <x v="10"/>
    <x v="1"/>
    <n v="34.6"/>
    <n v="69.2"/>
    <x v="38"/>
    <x v="44"/>
    <x v="2"/>
    <x v="0"/>
    <x v="1"/>
    <x v="0"/>
    <x v="19"/>
    <x v="5"/>
    <x v="5"/>
    <x v="2"/>
  </r>
  <r>
    <s v="TX500980"/>
    <x v="7"/>
    <x v="3"/>
    <n v="47.1"/>
    <n v="329.7"/>
    <x v="38"/>
    <x v="45"/>
    <x v="2"/>
    <x v="0"/>
    <x v="0"/>
    <x v="0"/>
    <x v="13"/>
    <x v="0"/>
    <x v="5"/>
    <x v="2"/>
  </r>
  <r>
    <s v="TX500981"/>
    <x v="4"/>
    <x v="9"/>
    <n v="26.1"/>
    <n v="130.5"/>
    <x v="38"/>
    <x v="45"/>
    <x v="1"/>
    <x v="0"/>
    <x v="2"/>
    <x v="0"/>
    <x v="21"/>
    <x v="0"/>
    <x v="5"/>
    <x v="1"/>
  </r>
  <r>
    <s v="TX500982"/>
    <x v="12"/>
    <x v="9"/>
    <n v="66.8"/>
    <n v="334"/>
    <x v="38"/>
    <x v="40"/>
    <x v="2"/>
    <x v="0"/>
    <x v="0"/>
    <x v="0"/>
    <x v="21"/>
    <x v="2"/>
    <x v="5"/>
    <x v="2"/>
  </r>
  <r>
    <s v="TX500983"/>
    <x v="2"/>
    <x v="1"/>
    <n v="167.9"/>
    <n v="335.8"/>
    <x v="38"/>
    <x v="35"/>
    <x v="2"/>
    <x v="3"/>
    <x v="2"/>
    <x v="0"/>
    <x v="21"/>
    <x v="3"/>
    <x v="5"/>
    <x v="2"/>
  </r>
  <r>
    <s v="TX500984"/>
    <x v="10"/>
    <x v="11"/>
    <n v="34.6"/>
    <n v="311.40000000000003"/>
    <x v="38"/>
    <x v="35"/>
    <x v="2"/>
    <x v="2"/>
    <x v="1"/>
    <x v="0"/>
    <x v="21"/>
    <x v="3"/>
    <x v="5"/>
    <x v="2"/>
  </r>
  <r>
    <s v="TX500985"/>
    <x v="8"/>
    <x v="2"/>
    <n v="35.1"/>
    <n v="105.30000000000001"/>
    <x v="39"/>
    <x v="45"/>
    <x v="1"/>
    <x v="4"/>
    <x v="2"/>
    <x v="0"/>
    <x v="1"/>
    <x v="5"/>
    <x v="6"/>
    <x v="1"/>
  </r>
  <r>
    <s v="TX500986"/>
    <x v="6"/>
    <x v="12"/>
    <n v="104.5"/>
    <n v="418"/>
    <x v="39"/>
    <x v="37"/>
    <x v="1"/>
    <x v="1"/>
    <x v="1"/>
    <x v="0"/>
    <x v="1"/>
    <x v="3"/>
    <x v="6"/>
    <x v="1"/>
  </r>
  <r>
    <s v="TX500987"/>
    <x v="8"/>
    <x v="0"/>
    <n v="37.9"/>
    <n v="37.9"/>
    <x v="39"/>
    <x v="40"/>
    <x v="0"/>
    <x v="1"/>
    <x v="2"/>
    <x v="0"/>
    <x v="2"/>
    <x v="1"/>
    <x v="6"/>
    <x v="0"/>
  </r>
  <r>
    <s v="TX500988"/>
    <x v="4"/>
    <x v="2"/>
    <n v="25.5"/>
    <n v="76.5"/>
    <x v="39"/>
    <x v="44"/>
    <x v="1"/>
    <x v="3"/>
    <x v="0"/>
    <x v="0"/>
    <x v="2"/>
    <x v="2"/>
    <x v="6"/>
    <x v="1"/>
  </r>
  <r>
    <s v="TX500989"/>
    <x v="0"/>
    <x v="2"/>
    <n v="32"/>
    <n v="96"/>
    <x v="39"/>
    <x v="45"/>
    <x v="2"/>
    <x v="1"/>
    <x v="0"/>
    <x v="0"/>
    <x v="22"/>
    <x v="5"/>
    <x v="6"/>
    <x v="2"/>
  </r>
  <r>
    <s v="TX500990"/>
    <x v="1"/>
    <x v="0"/>
    <n v="47.1"/>
    <n v="47.1"/>
    <x v="39"/>
    <x v="37"/>
    <x v="2"/>
    <x v="0"/>
    <x v="0"/>
    <x v="0"/>
    <x v="34"/>
    <x v="3"/>
    <x v="6"/>
    <x v="2"/>
  </r>
  <r>
    <s v="TX500991"/>
    <x v="6"/>
    <x v="1"/>
    <n v="50.6"/>
    <n v="101.2"/>
    <x v="39"/>
    <x v="48"/>
    <x v="0"/>
    <x v="0"/>
    <x v="0"/>
    <x v="0"/>
    <x v="3"/>
    <x v="4"/>
    <x v="6"/>
    <x v="0"/>
  </r>
  <r>
    <s v="TX500992"/>
    <x v="6"/>
    <x v="9"/>
    <n v="81.7"/>
    <n v="408.5"/>
    <x v="39"/>
    <x v="37"/>
    <x v="2"/>
    <x v="1"/>
    <x v="2"/>
    <x v="0"/>
    <x v="3"/>
    <x v="3"/>
    <x v="6"/>
    <x v="2"/>
  </r>
  <r>
    <s v="TX500993"/>
    <x v="5"/>
    <x v="1"/>
    <n v="50.7"/>
    <n v="101.4"/>
    <x v="39"/>
    <x v="37"/>
    <x v="3"/>
    <x v="2"/>
    <x v="2"/>
    <x v="0"/>
    <x v="3"/>
    <x v="3"/>
    <x v="6"/>
    <x v="3"/>
  </r>
  <r>
    <s v="TX500994"/>
    <x v="2"/>
    <x v="10"/>
    <n v="67.3"/>
    <n v="1278.7"/>
    <x v="39"/>
    <x v="45"/>
    <x v="2"/>
    <x v="2"/>
    <x v="0"/>
    <x v="0"/>
    <x v="3"/>
    <x v="5"/>
    <x v="6"/>
    <x v="2"/>
  </r>
  <r>
    <s v="TX500995"/>
    <x v="2"/>
    <x v="12"/>
    <n v="64.8"/>
    <n v="259.2"/>
    <x v="39"/>
    <x v="44"/>
    <x v="2"/>
    <x v="3"/>
    <x v="0"/>
    <x v="0"/>
    <x v="3"/>
    <x v="2"/>
    <x v="6"/>
    <x v="2"/>
  </r>
  <r>
    <s v="TX500996"/>
    <x v="5"/>
    <x v="32"/>
    <n v="61.3"/>
    <n v="1348.6"/>
    <x v="39"/>
    <x v="37"/>
    <x v="2"/>
    <x v="0"/>
    <x v="2"/>
    <x v="0"/>
    <x v="3"/>
    <x v="3"/>
    <x v="6"/>
    <x v="2"/>
  </r>
  <r>
    <s v="TX500997"/>
    <x v="14"/>
    <x v="0"/>
    <n v="32.9"/>
    <n v="32.9"/>
    <x v="39"/>
    <x v="44"/>
    <x v="2"/>
    <x v="4"/>
    <x v="0"/>
    <x v="0"/>
    <x v="3"/>
    <x v="2"/>
    <x v="6"/>
    <x v="2"/>
  </r>
  <r>
    <s v="TX500998"/>
    <x v="6"/>
    <x v="1"/>
    <n v="100.8"/>
    <n v="201.6"/>
    <x v="39"/>
    <x v="44"/>
    <x v="2"/>
    <x v="0"/>
    <x v="0"/>
    <x v="0"/>
    <x v="3"/>
    <x v="2"/>
    <x v="6"/>
    <x v="2"/>
  </r>
  <r>
    <s v="TX500999"/>
    <x v="8"/>
    <x v="12"/>
    <n v="25.1"/>
    <n v="100.4"/>
    <x v="39"/>
    <x v="40"/>
    <x v="2"/>
    <x v="1"/>
    <x v="0"/>
    <x v="0"/>
    <x v="3"/>
    <x v="1"/>
    <x v="6"/>
    <x v="2"/>
  </r>
  <r>
    <s v="TX501000"/>
    <x v="17"/>
    <x v="0"/>
    <n v="48.5"/>
    <n v="48.5"/>
    <x v="39"/>
    <x v="37"/>
    <x v="2"/>
    <x v="0"/>
    <x v="1"/>
    <x v="0"/>
    <x v="3"/>
    <x v="3"/>
    <x v="6"/>
    <x v="2"/>
  </r>
  <r>
    <s v="TX501001"/>
    <x v="7"/>
    <x v="1"/>
    <n v="33.6"/>
    <n v="67.2"/>
    <x v="39"/>
    <x v="45"/>
    <x v="2"/>
    <x v="2"/>
    <x v="2"/>
    <x v="0"/>
    <x v="3"/>
    <x v="5"/>
    <x v="6"/>
    <x v="2"/>
  </r>
  <r>
    <s v="TX501002"/>
    <x v="8"/>
    <x v="0"/>
    <n v="39.299999999999997"/>
    <n v="39.299999999999997"/>
    <x v="39"/>
    <x v="49"/>
    <x v="2"/>
    <x v="1"/>
    <x v="1"/>
    <x v="0"/>
    <x v="49"/>
    <x v="11"/>
    <x v="6"/>
    <x v="2"/>
  </r>
  <r>
    <s v="TX501003"/>
    <x v="4"/>
    <x v="7"/>
    <n v="48.8"/>
    <n v="488"/>
    <x v="39"/>
    <x v="40"/>
    <x v="2"/>
    <x v="3"/>
    <x v="1"/>
    <x v="0"/>
    <x v="25"/>
    <x v="1"/>
    <x v="6"/>
    <x v="2"/>
  </r>
  <r>
    <s v="TX501004"/>
    <x v="6"/>
    <x v="8"/>
    <n v="72.8"/>
    <n v="582.4"/>
    <x v="39"/>
    <x v="40"/>
    <x v="1"/>
    <x v="1"/>
    <x v="2"/>
    <x v="0"/>
    <x v="5"/>
    <x v="1"/>
    <x v="6"/>
    <x v="1"/>
  </r>
  <r>
    <s v="TX501005"/>
    <x v="10"/>
    <x v="8"/>
    <n v="46.2"/>
    <n v="369.6"/>
    <x v="39"/>
    <x v="37"/>
    <x v="1"/>
    <x v="3"/>
    <x v="4"/>
    <x v="0"/>
    <x v="5"/>
    <x v="3"/>
    <x v="6"/>
    <x v="1"/>
  </r>
  <r>
    <s v="TX501006"/>
    <x v="4"/>
    <x v="1"/>
    <n v="20.7"/>
    <n v="41.4"/>
    <x v="39"/>
    <x v="37"/>
    <x v="2"/>
    <x v="2"/>
    <x v="3"/>
    <x v="0"/>
    <x v="6"/>
    <x v="3"/>
    <x v="6"/>
    <x v="2"/>
  </r>
  <r>
    <s v="TX501007"/>
    <x v="0"/>
    <x v="0"/>
    <n v="35.700000000000003"/>
    <n v="35.700000000000003"/>
    <x v="39"/>
    <x v="40"/>
    <x v="2"/>
    <x v="3"/>
    <x v="0"/>
    <x v="0"/>
    <x v="6"/>
    <x v="1"/>
    <x v="6"/>
    <x v="2"/>
  </r>
  <r>
    <s v="TX501008"/>
    <x v="2"/>
    <x v="27"/>
    <n v="166.2"/>
    <n v="2659.2"/>
    <x v="39"/>
    <x v="40"/>
    <x v="0"/>
    <x v="2"/>
    <x v="0"/>
    <x v="0"/>
    <x v="7"/>
    <x v="1"/>
    <x v="6"/>
    <x v="0"/>
  </r>
  <r>
    <s v="TX501009"/>
    <x v="6"/>
    <x v="12"/>
    <n v="85.8"/>
    <n v="343.2"/>
    <x v="39"/>
    <x v="37"/>
    <x v="2"/>
    <x v="1"/>
    <x v="1"/>
    <x v="0"/>
    <x v="7"/>
    <x v="3"/>
    <x v="6"/>
    <x v="2"/>
  </r>
  <r>
    <s v="TX501010"/>
    <x v="8"/>
    <x v="2"/>
    <n v="26"/>
    <n v="78"/>
    <x v="39"/>
    <x v="40"/>
    <x v="3"/>
    <x v="1"/>
    <x v="0"/>
    <x v="0"/>
    <x v="7"/>
    <x v="1"/>
    <x v="6"/>
    <x v="3"/>
  </r>
  <r>
    <s v="TX501011"/>
    <x v="2"/>
    <x v="15"/>
    <n v="116.6"/>
    <n v="1515.8"/>
    <x v="39"/>
    <x v="44"/>
    <x v="2"/>
    <x v="0"/>
    <x v="0"/>
    <x v="0"/>
    <x v="8"/>
    <x v="2"/>
    <x v="6"/>
    <x v="2"/>
  </r>
  <r>
    <s v="TX501012"/>
    <x v="9"/>
    <x v="3"/>
    <n v="53.9"/>
    <n v="377.3"/>
    <x v="39"/>
    <x v="44"/>
    <x v="3"/>
    <x v="0"/>
    <x v="2"/>
    <x v="0"/>
    <x v="8"/>
    <x v="2"/>
    <x v="6"/>
    <x v="3"/>
  </r>
  <r>
    <s v="TX501013"/>
    <x v="12"/>
    <x v="9"/>
    <n v="72.3"/>
    <n v="361.5"/>
    <x v="39"/>
    <x v="40"/>
    <x v="0"/>
    <x v="2"/>
    <x v="2"/>
    <x v="0"/>
    <x v="8"/>
    <x v="1"/>
    <x v="6"/>
    <x v="0"/>
  </r>
  <r>
    <s v="TX501014"/>
    <x v="5"/>
    <x v="1"/>
    <n v="31.4"/>
    <n v="62.8"/>
    <x v="39"/>
    <x v="40"/>
    <x v="2"/>
    <x v="0"/>
    <x v="0"/>
    <x v="0"/>
    <x v="8"/>
    <x v="1"/>
    <x v="6"/>
    <x v="2"/>
  </r>
  <r>
    <s v="TX501015"/>
    <x v="13"/>
    <x v="1"/>
    <n v="53.1"/>
    <n v="106.2"/>
    <x v="39"/>
    <x v="44"/>
    <x v="1"/>
    <x v="1"/>
    <x v="0"/>
    <x v="0"/>
    <x v="8"/>
    <x v="2"/>
    <x v="6"/>
    <x v="1"/>
  </r>
  <r>
    <s v="TX501016"/>
    <x v="2"/>
    <x v="12"/>
    <n v="56.2"/>
    <n v="224.8"/>
    <x v="39"/>
    <x v="37"/>
    <x v="2"/>
    <x v="0"/>
    <x v="0"/>
    <x v="0"/>
    <x v="8"/>
    <x v="3"/>
    <x v="6"/>
    <x v="2"/>
  </r>
  <r>
    <s v="TX501017"/>
    <x v="1"/>
    <x v="7"/>
    <n v="77.3"/>
    <n v="773"/>
    <x v="39"/>
    <x v="37"/>
    <x v="2"/>
    <x v="2"/>
    <x v="0"/>
    <x v="0"/>
    <x v="11"/>
    <x v="3"/>
    <x v="6"/>
    <x v="2"/>
  </r>
  <r>
    <s v="TX501018"/>
    <x v="6"/>
    <x v="15"/>
    <n v="57.8"/>
    <n v="751.4"/>
    <x v="39"/>
    <x v="37"/>
    <x v="0"/>
    <x v="0"/>
    <x v="0"/>
    <x v="0"/>
    <x v="53"/>
    <x v="3"/>
    <x v="6"/>
    <x v="0"/>
  </r>
  <r>
    <s v="TX501019"/>
    <x v="12"/>
    <x v="20"/>
    <n v="42.1"/>
    <n v="631.5"/>
    <x v="39"/>
    <x v="40"/>
    <x v="2"/>
    <x v="1"/>
    <x v="1"/>
    <x v="0"/>
    <x v="53"/>
    <x v="1"/>
    <x v="6"/>
    <x v="2"/>
  </r>
  <r>
    <s v="TX501020"/>
    <x v="8"/>
    <x v="11"/>
    <n v="22.8"/>
    <n v="205.20000000000002"/>
    <x v="39"/>
    <x v="45"/>
    <x v="1"/>
    <x v="2"/>
    <x v="2"/>
    <x v="0"/>
    <x v="19"/>
    <x v="5"/>
    <x v="6"/>
    <x v="1"/>
  </r>
  <r>
    <s v="TX501021"/>
    <x v="2"/>
    <x v="2"/>
    <n v="171.1"/>
    <n v="513.29999999999995"/>
    <x v="40"/>
    <x v="43"/>
    <x v="2"/>
    <x v="2"/>
    <x v="1"/>
    <x v="0"/>
    <x v="19"/>
    <x v="6"/>
    <x v="6"/>
    <x v="2"/>
  </r>
  <r>
    <s v="TX501022"/>
    <x v="8"/>
    <x v="0"/>
    <n v="28"/>
    <n v="28"/>
    <x v="40"/>
    <x v="44"/>
    <x v="1"/>
    <x v="2"/>
    <x v="2"/>
    <x v="0"/>
    <x v="21"/>
    <x v="1"/>
    <x v="6"/>
    <x v="1"/>
  </r>
  <r>
    <s v="TX501023"/>
    <x v="6"/>
    <x v="3"/>
    <n v="50.2"/>
    <n v="351.40000000000003"/>
    <x v="40"/>
    <x v="44"/>
    <x v="1"/>
    <x v="2"/>
    <x v="0"/>
    <x v="0"/>
    <x v="21"/>
    <x v="1"/>
    <x v="6"/>
    <x v="1"/>
  </r>
  <r>
    <s v="TX501024"/>
    <x v="6"/>
    <x v="1"/>
    <n v="56"/>
    <n v="112"/>
    <x v="40"/>
    <x v="37"/>
    <x v="1"/>
    <x v="0"/>
    <x v="2"/>
    <x v="0"/>
    <x v="22"/>
    <x v="7"/>
    <x v="6"/>
    <x v="1"/>
  </r>
  <r>
    <s v="TX501025"/>
    <x v="1"/>
    <x v="1"/>
    <n v="38.299999999999997"/>
    <n v="76.599999999999994"/>
    <x v="40"/>
    <x v="40"/>
    <x v="2"/>
    <x v="1"/>
    <x v="0"/>
    <x v="0"/>
    <x v="3"/>
    <x v="3"/>
    <x v="6"/>
    <x v="2"/>
  </r>
  <r>
    <s v="TX501026"/>
    <x v="0"/>
    <x v="9"/>
    <n v="22.3"/>
    <n v="111.5"/>
    <x v="40"/>
    <x v="42"/>
    <x v="2"/>
    <x v="2"/>
    <x v="1"/>
    <x v="0"/>
    <x v="3"/>
    <x v="5"/>
    <x v="6"/>
    <x v="2"/>
  </r>
  <r>
    <s v="TX501027"/>
    <x v="0"/>
    <x v="2"/>
    <n v="22.3"/>
    <n v="66.900000000000006"/>
    <x v="40"/>
    <x v="45"/>
    <x v="2"/>
    <x v="2"/>
    <x v="0"/>
    <x v="0"/>
    <x v="3"/>
    <x v="2"/>
    <x v="6"/>
    <x v="2"/>
  </r>
  <r>
    <s v="TX501028"/>
    <x v="1"/>
    <x v="0"/>
    <n v="32.9"/>
    <n v="32.9"/>
    <x v="40"/>
    <x v="48"/>
    <x v="2"/>
    <x v="0"/>
    <x v="0"/>
    <x v="0"/>
    <x v="3"/>
    <x v="0"/>
    <x v="6"/>
    <x v="2"/>
  </r>
  <r>
    <s v="TX501029"/>
    <x v="10"/>
    <x v="2"/>
    <n v="31.9"/>
    <n v="95.699999999999989"/>
    <x v="40"/>
    <x v="48"/>
    <x v="2"/>
    <x v="0"/>
    <x v="0"/>
    <x v="0"/>
    <x v="3"/>
    <x v="0"/>
    <x v="6"/>
    <x v="2"/>
  </r>
  <r>
    <s v="TX501030"/>
    <x v="6"/>
    <x v="1"/>
    <n v="94"/>
    <n v="188"/>
    <x v="40"/>
    <x v="40"/>
    <x v="1"/>
    <x v="2"/>
    <x v="2"/>
    <x v="0"/>
    <x v="3"/>
    <x v="3"/>
    <x v="6"/>
    <x v="1"/>
  </r>
  <r>
    <s v="TX501031"/>
    <x v="10"/>
    <x v="1"/>
    <n v="30.7"/>
    <n v="61.4"/>
    <x v="40"/>
    <x v="40"/>
    <x v="2"/>
    <x v="0"/>
    <x v="1"/>
    <x v="0"/>
    <x v="3"/>
    <x v="3"/>
    <x v="6"/>
    <x v="2"/>
  </r>
  <r>
    <s v="TX501032"/>
    <x v="5"/>
    <x v="9"/>
    <n v="90.5"/>
    <n v="452.5"/>
    <x v="40"/>
    <x v="43"/>
    <x v="1"/>
    <x v="0"/>
    <x v="2"/>
    <x v="0"/>
    <x v="3"/>
    <x v="6"/>
    <x v="6"/>
    <x v="1"/>
  </r>
  <r>
    <s v="TX501033"/>
    <x v="8"/>
    <x v="9"/>
    <n v="25.3"/>
    <n v="126.5"/>
    <x v="40"/>
    <x v="42"/>
    <x v="2"/>
    <x v="0"/>
    <x v="2"/>
    <x v="0"/>
    <x v="3"/>
    <x v="5"/>
    <x v="6"/>
    <x v="2"/>
  </r>
  <r>
    <s v="TX501034"/>
    <x v="6"/>
    <x v="2"/>
    <n v="58.1"/>
    <n v="174.3"/>
    <x v="40"/>
    <x v="42"/>
    <x v="0"/>
    <x v="0"/>
    <x v="2"/>
    <x v="0"/>
    <x v="3"/>
    <x v="5"/>
    <x v="6"/>
    <x v="0"/>
  </r>
  <r>
    <s v="TX501035"/>
    <x v="2"/>
    <x v="2"/>
    <n v="74.900000000000006"/>
    <n v="224.70000000000002"/>
    <x v="40"/>
    <x v="40"/>
    <x v="2"/>
    <x v="4"/>
    <x v="0"/>
    <x v="0"/>
    <x v="3"/>
    <x v="3"/>
    <x v="6"/>
    <x v="2"/>
  </r>
  <r>
    <s v="TX501036"/>
    <x v="4"/>
    <x v="1"/>
    <n v="32.5"/>
    <n v="65"/>
    <x v="40"/>
    <x v="40"/>
    <x v="1"/>
    <x v="2"/>
    <x v="2"/>
    <x v="0"/>
    <x v="43"/>
    <x v="3"/>
    <x v="6"/>
    <x v="1"/>
  </r>
  <r>
    <s v="TX501037"/>
    <x v="4"/>
    <x v="9"/>
    <n v="62"/>
    <n v="310"/>
    <x v="40"/>
    <x v="40"/>
    <x v="1"/>
    <x v="4"/>
    <x v="2"/>
    <x v="0"/>
    <x v="25"/>
    <x v="3"/>
    <x v="6"/>
    <x v="1"/>
  </r>
  <r>
    <s v="TX501038"/>
    <x v="13"/>
    <x v="13"/>
    <n v="28.9"/>
    <n v="173.39999999999998"/>
    <x v="40"/>
    <x v="45"/>
    <x v="2"/>
    <x v="0"/>
    <x v="1"/>
    <x v="0"/>
    <x v="6"/>
    <x v="2"/>
    <x v="6"/>
    <x v="2"/>
  </r>
  <r>
    <s v="TX501039"/>
    <x v="6"/>
    <x v="8"/>
    <n v="42.8"/>
    <n v="342.4"/>
    <x v="40"/>
    <x v="44"/>
    <x v="2"/>
    <x v="0"/>
    <x v="2"/>
    <x v="0"/>
    <x v="6"/>
    <x v="1"/>
    <x v="6"/>
    <x v="2"/>
  </r>
  <r>
    <s v="TX501040"/>
    <x v="8"/>
    <x v="8"/>
    <n v="39.4"/>
    <n v="315.2"/>
    <x v="40"/>
    <x v="44"/>
    <x v="1"/>
    <x v="0"/>
    <x v="0"/>
    <x v="0"/>
    <x v="36"/>
    <x v="1"/>
    <x v="6"/>
    <x v="1"/>
  </r>
  <r>
    <s v="TX501041"/>
    <x v="18"/>
    <x v="2"/>
    <n v="66.400000000000006"/>
    <n v="199.20000000000002"/>
    <x v="40"/>
    <x v="40"/>
    <x v="0"/>
    <x v="2"/>
    <x v="1"/>
    <x v="0"/>
    <x v="7"/>
    <x v="3"/>
    <x v="6"/>
    <x v="0"/>
  </r>
  <r>
    <s v="TX501042"/>
    <x v="17"/>
    <x v="12"/>
    <n v="35.9"/>
    <n v="143.6"/>
    <x v="40"/>
    <x v="43"/>
    <x v="2"/>
    <x v="1"/>
    <x v="0"/>
    <x v="0"/>
    <x v="7"/>
    <x v="6"/>
    <x v="6"/>
    <x v="2"/>
  </r>
  <r>
    <s v="TX501043"/>
    <x v="0"/>
    <x v="12"/>
    <n v="26.9"/>
    <n v="107.6"/>
    <x v="40"/>
    <x v="40"/>
    <x v="1"/>
    <x v="1"/>
    <x v="0"/>
    <x v="0"/>
    <x v="7"/>
    <x v="3"/>
    <x v="6"/>
    <x v="1"/>
  </r>
  <r>
    <s v="TX501044"/>
    <x v="2"/>
    <x v="0"/>
    <n v="55.1"/>
    <n v="55.1"/>
    <x v="40"/>
    <x v="40"/>
    <x v="2"/>
    <x v="0"/>
    <x v="0"/>
    <x v="0"/>
    <x v="7"/>
    <x v="3"/>
    <x v="6"/>
    <x v="2"/>
  </r>
  <r>
    <s v="TX501045"/>
    <x v="4"/>
    <x v="1"/>
    <n v="23.9"/>
    <n v="47.8"/>
    <x v="40"/>
    <x v="40"/>
    <x v="1"/>
    <x v="0"/>
    <x v="2"/>
    <x v="0"/>
    <x v="8"/>
    <x v="3"/>
    <x v="6"/>
    <x v="1"/>
  </r>
  <r>
    <s v="TX501046"/>
    <x v="9"/>
    <x v="15"/>
    <n v="21.1"/>
    <n v="274.3"/>
    <x v="40"/>
    <x v="50"/>
    <x v="2"/>
    <x v="0"/>
    <x v="1"/>
    <x v="0"/>
    <x v="8"/>
    <x v="9"/>
    <x v="6"/>
    <x v="2"/>
  </r>
  <r>
    <s v="TX501047"/>
    <x v="8"/>
    <x v="9"/>
    <n v="33.799999999999997"/>
    <n v="169"/>
    <x v="40"/>
    <x v="44"/>
    <x v="2"/>
    <x v="0"/>
    <x v="0"/>
    <x v="0"/>
    <x v="8"/>
    <x v="1"/>
    <x v="6"/>
    <x v="2"/>
  </r>
  <r>
    <s v="TX501048"/>
    <x v="2"/>
    <x v="12"/>
    <n v="56.1"/>
    <n v="224.4"/>
    <x v="40"/>
    <x v="37"/>
    <x v="2"/>
    <x v="3"/>
    <x v="2"/>
    <x v="0"/>
    <x v="9"/>
    <x v="7"/>
    <x v="6"/>
    <x v="2"/>
  </r>
  <r>
    <s v="TX501049"/>
    <x v="3"/>
    <x v="0"/>
    <n v="58.5"/>
    <n v="58.5"/>
    <x v="41"/>
    <x v="48"/>
    <x v="2"/>
    <x v="1"/>
    <x v="2"/>
    <x v="0"/>
    <x v="9"/>
    <x v="5"/>
    <x v="6"/>
    <x v="2"/>
  </r>
  <r>
    <s v="TX501050"/>
    <x v="6"/>
    <x v="0"/>
    <n v="84.2"/>
    <n v="84.2"/>
    <x v="41"/>
    <x v="45"/>
    <x v="1"/>
    <x v="3"/>
    <x v="0"/>
    <x v="0"/>
    <x v="11"/>
    <x v="1"/>
    <x v="6"/>
    <x v="1"/>
  </r>
  <r>
    <s v="TX501051"/>
    <x v="11"/>
    <x v="12"/>
    <n v="52"/>
    <n v="208"/>
    <x v="41"/>
    <x v="42"/>
    <x v="1"/>
    <x v="0"/>
    <x v="0"/>
    <x v="0"/>
    <x v="11"/>
    <x v="2"/>
    <x v="6"/>
    <x v="1"/>
  </r>
  <r>
    <s v="TX501052"/>
    <x v="4"/>
    <x v="9"/>
    <n v="31.5"/>
    <n v="157.5"/>
    <x v="41"/>
    <x v="44"/>
    <x v="2"/>
    <x v="0"/>
    <x v="2"/>
    <x v="0"/>
    <x v="11"/>
    <x v="3"/>
    <x v="6"/>
    <x v="2"/>
  </r>
  <r>
    <s v="TX501053"/>
    <x v="16"/>
    <x v="2"/>
    <n v="46.2"/>
    <n v="138.60000000000002"/>
    <x v="41"/>
    <x v="44"/>
    <x v="1"/>
    <x v="0"/>
    <x v="0"/>
    <x v="0"/>
    <x v="53"/>
    <x v="3"/>
    <x v="6"/>
    <x v="1"/>
  </r>
  <r>
    <s v="TX501054"/>
    <x v="2"/>
    <x v="13"/>
    <n v="135"/>
    <n v="810"/>
    <x v="41"/>
    <x v="44"/>
    <x v="2"/>
    <x v="1"/>
    <x v="2"/>
    <x v="0"/>
    <x v="18"/>
    <x v="3"/>
    <x v="6"/>
    <x v="2"/>
  </r>
  <r>
    <s v="TX501055"/>
    <x v="12"/>
    <x v="2"/>
    <n v="92.2"/>
    <n v="276.60000000000002"/>
    <x v="41"/>
    <x v="48"/>
    <x v="1"/>
    <x v="0"/>
    <x v="0"/>
    <x v="0"/>
    <x v="21"/>
    <x v="5"/>
    <x v="6"/>
    <x v="1"/>
  </r>
  <r>
    <s v="TX501056"/>
    <x v="8"/>
    <x v="0"/>
    <n v="36.6"/>
    <n v="36.6"/>
    <x v="41"/>
    <x v="45"/>
    <x v="1"/>
    <x v="2"/>
    <x v="2"/>
    <x v="0"/>
    <x v="21"/>
    <x v="1"/>
    <x v="6"/>
    <x v="1"/>
  </r>
  <r>
    <s v="TX501057"/>
    <x v="9"/>
    <x v="1"/>
    <n v="50.6"/>
    <n v="101.2"/>
    <x v="41"/>
    <x v="42"/>
    <x v="2"/>
    <x v="0"/>
    <x v="0"/>
    <x v="0"/>
    <x v="2"/>
    <x v="2"/>
    <x v="6"/>
    <x v="2"/>
  </r>
  <r>
    <s v="TX501058"/>
    <x v="18"/>
    <x v="3"/>
    <n v="56.7"/>
    <n v="396.90000000000003"/>
    <x v="41"/>
    <x v="42"/>
    <x v="2"/>
    <x v="0"/>
    <x v="0"/>
    <x v="0"/>
    <x v="2"/>
    <x v="2"/>
    <x v="6"/>
    <x v="2"/>
  </r>
  <r>
    <s v="TX501059"/>
    <x v="9"/>
    <x v="15"/>
    <n v="22.9"/>
    <n v="297.7"/>
    <x v="41"/>
    <x v="44"/>
    <x v="2"/>
    <x v="0"/>
    <x v="1"/>
    <x v="0"/>
    <x v="44"/>
    <x v="3"/>
    <x v="6"/>
    <x v="2"/>
  </r>
  <r>
    <s v="TX501060"/>
    <x v="15"/>
    <x v="10"/>
    <n v="53.6"/>
    <n v="1018.4"/>
    <x v="41"/>
    <x v="44"/>
    <x v="1"/>
    <x v="0"/>
    <x v="0"/>
    <x v="0"/>
    <x v="22"/>
    <x v="3"/>
    <x v="6"/>
    <x v="1"/>
  </r>
  <r>
    <s v="TX501061"/>
    <x v="18"/>
    <x v="1"/>
    <n v="30.2"/>
    <n v="60.4"/>
    <x v="41"/>
    <x v="45"/>
    <x v="0"/>
    <x v="2"/>
    <x v="2"/>
    <x v="0"/>
    <x v="3"/>
    <x v="1"/>
    <x v="6"/>
    <x v="0"/>
  </r>
  <r>
    <s v="TX501062"/>
    <x v="15"/>
    <x v="13"/>
    <n v="83.4"/>
    <n v="500.40000000000003"/>
    <x v="41"/>
    <x v="44"/>
    <x v="1"/>
    <x v="1"/>
    <x v="2"/>
    <x v="0"/>
    <x v="3"/>
    <x v="3"/>
    <x v="6"/>
    <x v="1"/>
  </r>
  <r>
    <s v="TX501063"/>
    <x v="13"/>
    <x v="4"/>
    <n v="16.600000000000001"/>
    <n v="199.20000000000002"/>
    <x v="41"/>
    <x v="45"/>
    <x v="1"/>
    <x v="1"/>
    <x v="0"/>
    <x v="0"/>
    <x v="3"/>
    <x v="1"/>
    <x v="6"/>
    <x v="1"/>
  </r>
  <r>
    <s v="TX501064"/>
    <x v="8"/>
    <x v="14"/>
    <n v="21.9"/>
    <n v="372.29999999999995"/>
    <x v="41"/>
    <x v="45"/>
    <x v="2"/>
    <x v="4"/>
    <x v="1"/>
    <x v="0"/>
    <x v="3"/>
    <x v="1"/>
    <x v="6"/>
    <x v="2"/>
  </r>
  <r>
    <s v="TX501065"/>
    <x v="8"/>
    <x v="31"/>
    <n v="33.799999999999997"/>
    <n v="946.39999999999986"/>
    <x v="41"/>
    <x v="45"/>
    <x v="1"/>
    <x v="2"/>
    <x v="4"/>
    <x v="0"/>
    <x v="3"/>
    <x v="1"/>
    <x v="6"/>
    <x v="1"/>
  </r>
  <r>
    <s v="TX501066"/>
    <x v="18"/>
    <x v="1"/>
    <n v="53.2"/>
    <n v="106.4"/>
    <x v="41"/>
    <x v="40"/>
    <x v="1"/>
    <x v="1"/>
    <x v="0"/>
    <x v="0"/>
    <x v="3"/>
    <x v="7"/>
    <x v="6"/>
    <x v="1"/>
  </r>
  <r>
    <s v="TX501067"/>
    <x v="2"/>
    <x v="1"/>
    <n v="176.7"/>
    <n v="353.4"/>
    <x v="41"/>
    <x v="42"/>
    <x v="2"/>
    <x v="2"/>
    <x v="0"/>
    <x v="0"/>
    <x v="3"/>
    <x v="2"/>
    <x v="6"/>
    <x v="2"/>
  </r>
  <r>
    <s v="TX501068"/>
    <x v="12"/>
    <x v="2"/>
    <n v="54"/>
    <n v="162"/>
    <x v="41"/>
    <x v="42"/>
    <x v="1"/>
    <x v="0"/>
    <x v="1"/>
    <x v="0"/>
    <x v="3"/>
    <x v="2"/>
    <x v="6"/>
    <x v="1"/>
  </r>
  <r>
    <s v="TX501069"/>
    <x v="9"/>
    <x v="1"/>
    <n v="70.099999999999994"/>
    <n v="140.19999999999999"/>
    <x v="41"/>
    <x v="46"/>
    <x v="2"/>
    <x v="3"/>
    <x v="2"/>
    <x v="0"/>
    <x v="3"/>
    <x v="9"/>
    <x v="6"/>
    <x v="2"/>
  </r>
  <r>
    <s v="TX501070"/>
    <x v="8"/>
    <x v="0"/>
    <n v="26.5"/>
    <n v="26.5"/>
    <x v="41"/>
    <x v="45"/>
    <x v="2"/>
    <x v="1"/>
    <x v="0"/>
    <x v="0"/>
    <x v="3"/>
    <x v="1"/>
    <x v="6"/>
    <x v="2"/>
  </r>
  <r>
    <s v="TX501071"/>
    <x v="7"/>
    <x v="9"/>
    <n v="89"/>
    <n v="445"/>
    <x v="41"/>
    <x v="45"/>
    <x v="1"/>
    <x v="2"/>
    <x v="4"/>
    <x v="0"/>
    <x v="3"/>
    <x v="1"/>
    <x v="6"/>
    <x v="1"/>
  </r>
  <r>
    <s v="TX501072"/>
    <x v="1"/>
    <x v="13"/>
    <n v="47"/>
    <n v="282"/>
    <x v="41"/>
    <x v="42"/>
    <x v="2"/>
    <x v="3"/>
    <x v="0"/>
    <x v="0"/>
    <x v="24"/>
    <x v="2"/>
    <x v="6"/>
    <x v="2"/>
  </r>
  <r>
    <s v="TX501073"/>
    <x v="3"/>
    <x v="1"/>
    <n v="55.2"/>
    <n v="110.4"/>
    <x v="41"/>
    <x v="42"/>
    <x v="1"/>
    <x v="1"/>
    <x v="1"/>
    <x v="0"/>
    <x v="6"/>
    <x v="2"/>
    <x v="6"/>
    <x v="1"/>
  </r>
  <r>
    <s v="TX501074"/>
    <x v="8"/>
    <x v="39"/>
    <n v="33.299999999999997"/>
    <n v="1398.6"/>
    <x v="41"/>
    <x v="51"/>
    <x v="1"/>
    <x v="1"/>
    <x v="2"/>
    <x v="0"/>
    <x v="6"/>
    <x v="12"/>
    <x v="6"/>
    <x v="1"/>
  </r>
  <r>
    <s v="TX501075"/>
    <x v="2"/>
    <x v="12"/>
    <n v="110.9"/>
    <n v="443.6"/>
    <x v="42"/>
    <x v="44"/>
    <x v="1"/>
    <x v="2"/>
    <x v="4"/>
    <x v="0"/>
    <x v="6"/>
    <x v="7"/>
    <x v="6"/>
    <x v="1"/>
  </r>
  <r>
    <s v="TX501076"/>
    <x v="2"/>
    <x v="13"/>
    <n v="67.3"/>
    <n v="403.79999999999995"/>
    <x v="42"/>
    <x v="45"/>
    <x v="1"/>
    <x v="0"/>
    <x v="0"/>
    <x v="0"/>
    <x v="8"/>
    <x v="3"/>
    <x v="6"/>
    <x v="1"/>
  </r>
  <r>
    <s v="TX501077"/>
    <x v="6"/>
    <x v="2"/>
    <n v="69.7"/>
    <n v="209.10000000000002"/>
    <x v="42"/>
    <x v="45"/>
    <x v="1"/>
    <x v="2"/>
    <x v="1"/>
    <x v="0"/>
    <x v="8"/>
    <x v="3"/>
    <x v="6"/>
    <x v="1"/>
  </r>
  <r>
    <s v="TX501078"/>
    <x v="5"/>
    <x v="0"/>
    <n v="39.1"/>
    <n v="39.1"/>
    <x v="42"/>
    <x v="43"/>
    <x v="1"/>
    <x v="0"/>
    <x v="1"/>
    <x v="0"/>
    <x v="17"/>
    <x v="0"/>
    <x v="6"/>
    <x v="1"/>
  </r>
  <r>
    <s v="TX501079"/>
    <x v="2"/>
    <x v="2"/>
    <n v="208.6"/>
    <n v="625.79999999999995"/>
    <x v="42"/>
    <x v="44"/>
    <x v="1"/>
    <x v="4"/>
    <x v="2"/>
    <x v="0"/>
    <x v="17"/>
    <x v="7"/>
    <x v="6"/>
    <x v="1"/>
  </r>
  <r>
    <s v="TX501080"/>
    <x v="15"/>
    <x v="2"/>
    <n v="27.8"/>
    <n v="83.4"/>
    <x v="42"/>
    <x v="45"/>
    <x v="1"/>
    <x v="3"/>
    <x v="1"/>
    <x v="0"/>
    <x v="11"/>
    <x v="3"/>
    <x v="6"/>
    <x v="1"/>
  </r>
  <r>
    <s v="TX501081"/>
    <x v="10"/>
    <x v="9"/>
    <n v="29.4"/>
    <n v="147"/>
    <x v="42"/>
    <x v="42"/>
    <x v="2"/>
    <x v="0"/>
    <x v="0"/>
    <x v="0"/>
    <x v="11"/>
    <x v="1"/>
    <x v="6"/>
    <x v="2"/>
  </r>
  <r>
    <s v="TX501082"/>
    <x v="9"/>
    <x v="1"/>
    <n v="29.2"/>
    <n v="58.4"/>
    <x v="42"/>
    <x v="42"/>
    <x v="2"/>
    <x v="1"/>
    <x v="2"/>
    <x v="0"/>
    <x v="20"/>
    <x v="1"/>
    <x v="6"/>
    <x v="2"/>
  </r>
  <r>
    <s v="TX501083"/>
    <x v="10"/>
    <x v="9"/>
    <n v="26.5"/>
    <n v="132.5"/>
    <x v="42"/>
    <x v="42"/>
    <x v="2"/>
    <x v="0"/>
    <x v="0"/>
    <x v="0"/>
    <x v="52"/>
    <x v="1"/>
    <x v="6"/>
    <x v="2"/>
  </r>
  <r>
    <s v="TX501084"/>
    <x v="5"/>
    <x v="0"/>
    <n v="30.3"/>
    <n v="30.3"/>
    <x v="42"/>
    <x v="45"/>
    <x v="2"/>
    <x v="4"/>
    <x v="1"/>
    <x v="0"/>
    <x v="13"/>
    <x v="3"/>
    <x v="6"/>
    <x v="2"/>
  </r>
  <r>
    <s v="TX501085"/>
    <x v="16"/>
    <x v="4"/>
    <n v="39.700000000000003"/>
    <n v="476.40000000000003"/>
    <x v="42"/>
    <x v="45"/>
    <x v="2"/>
    <x v="0"/>
    <x v="0"/>
    <x v="0"/>
    <x v="21"/>
    <x v="3"/>
    <x v="6"/>
    <x v="2"/>
  </r>
  <r>
    <s v="TX501086"/>
    <x v="7"/>
    <x v="7"/>
    <n v="58.9"/>
    <n v="589"/>
    <x v="42"/>
    <x v="42"/>
    <x v="2"/>
    <x v="1"/>
    <x v="4"/>
    <x v="0"/>
    <x v="21"/>
    <x v="1"/>
    <x v="6"/>
    <x v="2"/>
  </r>
  <r>
    <s v="TX501087"/>
    <x v="2"/>
    <x v="1"/>
    <n v="174.1"/>
    <n v="348.2"/>
    <x v="42"/>
    <x v="42"/>
    <x v="2"/>
    <x v="0"/>
    <x v="1"/>
    <x v="0"/>
    <x v="46"/>
    <x v="1"/>
    <x v="6"/>
    <x v="2"/>
  </r>
  <r>
    <s v="TX501088"/>
    <x v="6"/>
    <x v="1"/>
    <n v="70.8"/>
    <n v="141.6"/>
    <x v="42"/>
    <x v="48"/>
    <x v="1"/>
    <x v="2"/>
    <x v="0"/>
    <x v="0"/>
    <x v="22"/>
    <x v="2"/>
    <x v="6"/>
    <x v="1"/>
  </r>
  <r>
    <s v="TX501089"/>
    <x v="7"/>
    <x v="1"/>
    <n v="57.4"/>
    <n v="114.8"/>
    <x v="42"/>
    <x v="42"/>
    <x v="2"/>
    <x v="1"/>
    <x v="1"/>
    <x v="0"/>
    <x v="34"/>
    <x v="1"/>
    <x v="6"/>
    <x v="2"/>
  </r>
  <r>
    <s v="TX501090"/>
    <x v="0"/>
    <x v="1"/>
    <n v="28.5"/>
    <n v="57"/>
    <x v="42"/>
    <x v="42"/>
    <x v="1"/>
    <x v="3"/>
    <x v="1"/>
    <x v="0"/>
    <x v="3"/>
    <x v="1"/>
    <x v="6"/>
    <x v="1"/>
  </r>
  <r>
    <s v="TX501091"/>
    <x v="2"/>
    <x v="28"/>
    <n v="106.6"/>
    <n v="2132"/>
    <x v="42"/>
    <x v="45"/>
    <x v="0"/>
    <x v="1"/>
    <x v="4"/>
    <x v="0"/>
    <x v="3"/>
    <x v="3"/>
    <x v="6"/>
    <x v="0"/>
  </r>
  <r>
    <s v="TX501092"/>
    <x v="2"/>
    <x v="2"/>
    <n v="119.7"/>
    <n v="359.1"/>
    <x v="42"/>
    <x v="45"/>
    <x v="2"/>
    <x v="1"/>
    <x v="4"/>
    <x v="0"/>
    <x v="3"/>
    <x v="3"/>
    <x v="6"/>
    <x v="2"/>
  </r>
  <r>
    <s v="TX501093"/>
    <x v="18"/>
    <x v="0"/>
    <n v="73.3"/>
    <n v="73.3"/>
    <x v="42"/>
    <x v="43"/>
    <x v="2"/>
    <x v="0"/>
    <x v="2"/>
    <x v="0"/>
    <x v="3"/>
    <x v="0"/>
    <x v="6"/>
    <x v="2"/>
  </r>
  <r>
    <s v="TX501094"/>
    <x v="0"/>
    <x v="1"/>
    <n v="25.8"/>
    <n v="51.6"/>
    <x v="42"/>
    <x v="52"/>
    <x v="1"/>
    <x v="2"/>
    <x v="0"/>
    <x v="0"/>
    <x v="3"/>
    <x v="12"/>
    <x v="6"/>
    <x v="1"/>
  </r>
  <r>
    <s v="TX501095"/>
    <x v="17"/>
    <x v="2"/>
    <n v="49.1"/>
    <n v="147.30000000000001"/>
    <x v="42"/>
    <x v="42"/>
    <x v="2"/>
    <x v="0"/>
    <x v="0"/>
    <x v="0"/>
    <x v="24"/>
    <x v="1"/>
    <x v="6"/>
    <x v="2"/>
  </r>
  <r>
    <s v="TX501096"/>
    <x v="1"/>
    <x v="0"/>
    <n v="44.9"/>
    <n v="44.9"/>
    <x v="42"/>
    <x v="48"/>
    <x v="2"/>
    <x v="3"/>
    <x v="2"/>
    <x v="0"/>
    <x v="6"/>
    <x v="2"/>
    <x v="6"/>
    <x v="2"/>
  </r>
  <r>
    <s v="TX501097"/>
    <x v="15"/>
    <x v="3"/>
    <n v="29.9"/>
    <n v="209.29999999999998"/>
    <x v="42"/>
    <x v="45"/>
    <x v="2"/>
    <x v="0"/>
    <x v="0"/>
    <x v="0"/>
    <x v="6"/>
    <x v="3"/>
    <x v="6"/>
    <x v="2"/>
  </r>
  <r>
    <s v="TX501098"/>
    <x v="7"/>
    <x v="1"/>
    <n v="54.3"/>
    <n v="108.6"/>
    <x v="43"/>
    <x v="42"/>
    <x v="1"/>
    <x v="3"/>
    <x v="0"/>
    <x v="0"/>
    <x v="36"/>
    <x v="3"/>
    <x v="6"/>
    <x v="1"/>
  </r>
  <r>
    <s v="TX501099"/>
    <x v="9"/>
    <x v="12"/>
    <n v="57"/>
    <n v="228"/>
    <x v="43"/>
    <x v="48"/>
    <x v="2"/>
    <x v="0"/>
    <x v="0"/>
    <x v="0"/>
    <x v="8"/>
    <x v="1"/>
    <x v="6"/>
    <x v="2"/>
  </r>
  <r>
    <s v="TX501100"/>
    <x v="2"/>
    <x v="0"/>
    <n v="139.19999999999999"/>
    <n v="139.19999999999999"/>
    <x v="43"/>
    <x v="42"/>
    <x v="2"/>
    <x v="3"/>
    <x v="2"/>
    <x v="0"/>
    <x v="8"/>
    <x v="3"/>
    <x v="6"/>
    <x v="2"/>
  </r>
  <r>
    <s v="TX501101"/>
    <x v="10"/>
    <x v="0"/>
    <n v="33"/>
    <n v="33"/>
    <x v="43"/>
    <x v="41"/>
    <x v="2"/>
    <x v="0"/>
    <x v="2"/>
    <x v="0"/>
    <x v="8"/>
    <x v="2"/>
    <x v="6"/>
    <x v="2"/>
  </r>
  <r>
    <s v="TX501102"/>
    <x v="11"/>
    <x v="13"/>
    <n v="80.2"/>
    <n v="481.20000000000005"/>
    <x v="43"/>
    <x v="48"/>
    <x v="1"/>
    <x v="1"/>
    <x v="4"/>
    <x v="0"/>
    <x v="8"/>
    <x v="1"/>
    <x v="6"/>
    <x v="1"/>
  </r>
  <r>
    <s v="TX501103"/>
    <x v="18"/>
    <x v="8"/>
    <n v="49"/>
    <n v="392"/>
    <x v="43"/>
    <x v="42"/>
    <x v="0"/>
    <x v="2"/>
    <x v="1"/>
    <x v="0"/>
    <x v="9"/>
    <x v="3"/>
    <x v="6"/>
    <x v="0"/>
  </r>
  <r>
    <s v="TX501104"/>
    <x v="1"/>
    <x v="12"/>
    <n v="104.4"/>
    <n v="417.6"/>
    <x v="43"/>
    <x v="45"/>
    <x v="2"/>
    <x v="0"/>
    <x v="0"/>
    <x v="0"/>
    <x v="9"/>
    <x v="7"/>
    <x v="6"/>
    <x v="2"/>
  </r>
  <r>
    <s v="TX501105"/>
    <x v="3"/>
    <x v="0"/>
    <n v="41.6"/>
    <n v="41.6"/>
    <x v="43"/>
    <x v="41"/>
    <x v="1"/>
    <x v="3"/>
    <x v="0"/>
    <x v="0"/>
    <x v="11"/>
    <x v="2"/>
    <x v="6"/>
    <x v="1"/>
  </r>
  <r>
    <s v="TX501106"/>
    <x v="19"/>
    <x v="1"/>
    <n v="16.399999999999999"/>
    <n v="32.799999999999997"/>
    <x v="43"/>
    <x v="42"/>
    <x v="3"/>
    <x v="0"/>
    <x v="2"/>
    <x v="0"/>
    <x v="11"/>
    <x v="3"/>
    <x v="6"/>
    <x v="3"/>
  </r>
  <r>
    <s v="TX501107"/>
    <x v="8"/>
    <x v="1"/>
    <n v="22"/>
    <n v="44"/>
    <x v="43"/>
    <x v="42"/>
    <x v="1"/>
    <x v="2"/>
    <x v="2"/>
    <x v="0"/>
    <x v="53"/>
    <x v="3"/>
    <x v="6"/>
    <x v="1"/>
  </r>
  <r>
    <s v="TX501108"/>
    <x v="15"/>
    <x v="1"/>
    <n v="33.6"/>
    <n v="67.2"/>
    <x v="43"/>
    <x v="50"/>
    <x v="2"/>
    <x v="0"/>
    <x v="0"/>
    <x v="0"/>
    <x v="21"/>
    <x v="0"/>
    <x v="6"/>
    <x v="2"/>
  </r>
  <r>
    <s v="TX501109"/>
    <x v="11"/>
    <x v="13"/>
    <n v="43"/>
    <n v="258"/>
    <x v="43"/>
    <x v="42"/>
    <x v="2"/>
    <x v="2"/>
    <x v="0"/>
    <x v="0"/>
    <x v="21"/>
    <x v="3"/>
    <x v="6"/>
    <x v="2"/>
  </r>
  <r>
    <s v="TX501110"/>
    <x v="6"/>
    <x v="9"/>
    <n v="108.8"/>
    <n v="544"/>
    <x v="43"/>
    <x v="41"/>
    <x v="2"/>
    <x v="4"/>
    <x v="2"/>
    <x v="0"/>
    <x v="21"/>
    <x v="2"/>
    <x v="6"/>
    <x v="2"/>
  </r>
  <r>
    <s v="TX501111"/>
    <x v="0"/>
    <x v="11"/>
    <n v="29.3"/>
    <n v="263.7"/>
    <x v="43"/>
    <x v="48"/>
    <x v="1"/>
    <x v="4"/>
    <x v="2"/>
    <x v="0"/>
    <x v="21"/>
    <x v="1"/>
    <x v="6"/>
    <x v="1"/>
  </r>
  <r>
    <s v="TX501112"/>
    <x v="2"/>
    <x v="0"/>
    <n v="122.7"/>
    <n v="122.7"/>
    <x v="43"/>
    <x v="41"/>
    <x v="3"/>
    <x v="0"/>
    <x v="2"/>
    <x v="0"/>
    <x v="1"/>
    <x v="2"/>
    <x v="6"/>
    <x v="3"/>
  </r>
  <r>
    <s v="TX501113"/>
    <x v="4"/>
    <x v="3"/>
    <n v="22.9"/>
    <n v="160.29999999999998"/>
    <x v="43"/>
    <x v="42"/>
    <x v="2"/>
    <x v="0"/>
    <x v="0"/>
    <x v="0"/>
    <x v="42"/>
    <x v="3"/>
    <x v="6"/>
    <x v="2"/>
  </r>
  <r>
    <s v="TX501114"/>
    <x v="8"/>
    <x v="7"/>
    <n v="25.5"/>
    <n v="255"/>
    <x v="43"/>
    <x v="49"/>
    <x v="2"/>
    <x v="0"/>
    <x v="0"/>
    <x v="0"/>
    <x v="33"/>
    <x v="6"/>
    <x v="6"/>
    <x v="2"/>
  </r>
  <r>
    <s v="TX501115"/>
    <x v="17"/>
    <x v="2"/>
    <n v="23.4"/>
    <n v="70.199999999999989"/>
    <x v="43"/>
    <x v="43"/>
    <x v="2"/>
    <x v="0"/>
    <x v="2"/>
    <x v="0"/>
    <x v="3"/>
    <x v="5"/>
    <x v="6"/>
    <x v="2"/>
  </r>
  <r>
    <s v="TX501116"/>
    <x v="5"/>
    <x v="8"/>
    <n v="27.4"/>
    <n v="219.2"/>
    <x v="43"/>
    <x v="41"/>
    <x v="2"/>
    <x v="2"/>
    <x v="0"/>
    <x v="0"/>
    <x v="3"/>
    <x v="2"/>
    <x v="6"/>
    <x v="2"/>
  </r>
  <r>
    <s v="TX501117"/>
    <x v="5"/>
    <x v="9"/>
    <n v="68.400000000000006"/>
    <n v="342"/>
    <x v="43"/>
    <x v="42"/>
    <x v="2"/>
    <x v="0"/>
    <x v="0"/>
    <x v="0"/>
    <x v="3"/>
    <x v="3"/>
    <x v="6"/>
    <x v="2"/>
  </r>
  <r>
    <s v="TX501118"/>
    <x v="6"/>
    <x v="0"/>
    <n v="51.9"/>
    <n v="51.9"/>
    <x v="43"/>
    <x v="45"/>
    <x v="2"/>
    <x v="0"/>
    <x v="0"/>
    <x v="0"/>
    <x v="3"/>
    <x v="7"/>
    <x v="6"/>
    <x v="2"/>
  </r>
  <r>
    <s v="TX501119"/>
    <x v="0"/>
    <x v="9"/>
    <n v="26.4"/>
    <n v="132"/>
    <x v="43"/>
    <x v="41"/>
    <x v="2"/>
    <x v="0"/>
    <x v="2"/>
    <x v="0"/>
    <x v="3"/>
    <x v="2"/>
    <x v="6"/>
    <x v="2"/>
  </r>
  <r>
    <s v="TX501120"/>
    <x v="12"/>
    <x v="1"/>
    <n v="117"/>
    <n v="234"/>
    <x v="43"/>
    <x v="42"/>
    <x v="2"/>
    <x v="1"/>
    <x v="1"/>
    <x v="0"/>
    <x v="3"/>
    <x v="3"/>
    <x v="6"/>
    <x v="2"/>
  </r>
  <r>
    <s v="TX501121"/>
    <x v="7"/>
    <x v="2"/>
    <n v="49.6"/>
    <n v="148.80000000000001"/>
    <x v="44"/>
    <x v="41"/>
    <x v="2"/>
    <x v="0"/>
    <x v="0"/>
    <x v="0"/>
    <x v="3"/>
    <x v="1"/>
    <x v="6"/>
    <x v="2"/>
  </r>
  <r>
    <s v="TX501122"/>
    <x v="4"/>
    <x v="2"/>
    <n v="38"/>
    <n v="114"/>
    <x v="44"/>
    <x v="43"/>
    <x v="1"/>
    <x v="2"/>
    <x v="4"/>
    <x v="0"/>
    <x v="3"/>
    <x v="2"/>
    <x v="6"/>
    <x v="1"/>
  </r>
  <r>
    <s v="TX501123"/>
    <x v="0"/>
    <x v="2"/>
    <n v="20.6"/>
    <n v="61.800000000000004"/>
    <x v="44"/>
    <x v="41"/>
    <x v="2"/>
    <x v="4"/>
    <x v="2"/>
    <x v="0"/>
    <x v="3"/>
    <x v="1"/>
    <x v="6"/>
    <x v="2"/>
  </r>
  <r>
    <s v="TX501124"/>
    <x v="0"/>
    <x v="1"/>
    <n v="16"/>
    <n v="32"/>
    <x v="44"/>
    <x v="48"/>
    <x v="1"/>
    <x v="1"/>
    <x v="1"/>
    <x v="0"/>
    <x v="49"/>
    <x v="3"/>
    <x v="6"/>
    <x v="1"/>
  </r>
  <r>
    <s v="TX501125"/>
    <x v="15"/>
    <x v="12"/>
    <n v="49.3"/>
    <n v="197.2"/>
    <x v="44"/>
    <x v="48"/>
    <x v="2"/>
    <x v="2"/>
    <x v="0"/>
    <x v="0"/>
    <x v="23"/>
    <x v="3"/>
    <x v="6"/>
    <x v="2"/>
  </r>
  <r>
    <s v="TX501126"/>
    <x v="9"/>
    <x v="1"/>
    <n v="24.1"/>
    <n v="48.2"/>
    <x v="44"/>
    <x v="50"/>
    <x v="2"/>
    <x v="0"/>
    <x v="0"/>
    <x v="0"/>
    <x v="6"/>
    <x v="5"/>
    <x v="6"/>
    <x v="2"/>
  </r>
  <r>
    <s v="TX501127"/>
    <x v="15"/>
    <x v="8"/>
    <n v="32.700000000000003"/>
    <n v="261.60000000000002"/>
    <x v="44"/>
    <x v="48"/>
    <x v="2"/>
    <x v="1"/>
    <x v="0"/>
    <x v="0"/>
    <x v="6"/>
    <x v="3"/>
    <x v="6"/>
    <x v="2"/>
  </r>
  <r>
    <s v="TX501128"/>
    <x v="6"/>
    <x v="2"/>
    <n v="74.400000000000006"/>
    <n v="223.20000000000002"/>
    <x v="44"/>
    <x v="48"/>
    <x v="2"/>
    <x v="3"/>
    <x v="2"/>
    <x v="0"/>
    <x v="8"/>
    <x v="3"/>
    <x v="6"/>
    <x v="2"/>
  </r>
  <r>
    <s v="TX501129"/>
    <x v="12"/>
    <x v="0"/>
    <n v="45.6"/>
    <n v="45.6"/>
    <x v="44"/>
    <x v="50"/>
    <x v="2"/>
    <x v="4"/>
    <x v="0"/>
    <x v="0"/>
    <x v="8"/>
    <x v="5"/>
    <x v="6"/>
    <x v="2"/>
  </r>
  <r>
    <s v="TX501130"/>
    <x v="8"/>
    <x v="8"/>
    <n v="19.600000000000001"/>
    <n v="156.80000000000001"/>
    <x v="44"/>
    <x v="53"/>
    <x v="2"/>
    <x v="0"/>
    <x v="0"/>
    <x v="0"/>
    <x v="8"/>
    <x v="10"/>
    <x v="6"/>
    <x v="2"/>
  </r>
  <r>
    <s v="TX501131"/>
    <x v="9"/>
    <x v="0"/>
    <n v="51.8"/>
    <n v="51.8"/>
    <x v="44"/>
    <x v="48"/>
    <x v="2"/>
    <x v="1"/>
    <x v="0"/>
    <x v="0"/>
    <x v="8"/>
    <x v="3"/>
    <x v="6"/>
    <x v="2"/>
  </r>
  <r>
    <s v="TX501132"/>
    <x v="6"/>
    <x v="0"/>
    <n v="74.7"/>
    <n v="74.7"/>
    <x v="44"/>
    <x v="48"/>
    <x v="1"/>
    <x v="0"/>
    <x v="1"/>
    <x v="0"/>
    <x v="8"/>
    <x v="3"/>
    <x v="6"/>
    <x v="1"/>
  </r>
  <r>
    <s v="TX501133"/>
    <x v="19"/>
    <x v="2"/>
    <n v="22.4"/>
    <n v="67.199999999999989"/>
    <x v="44"/>
    <x v="48"/>
    <x v="2"/>
    <x v="1"/>
    <x v="2"/>
    <x v="0"/>
    <x v="9"/>
    <x v="3"/>
    <x v="6"/>
    <x v="2"/>
  </r>
  <r>
    <s v="TX501134"/>
    <x v="1"/>
    <x v="12"/>
    <n v="31.4"/>
    <n v="125.6"/>
    <x v="44"/>
    <x v="48"/>
    <x v="2"/>
    <x v="1"/>
    <x v="0"/>
    <x v="0"/>
    <x v="9"/>
    <x v="3"/>
    <x v="6"/>
    <x v="2"/>
  </r>
  <r>
    <s v="TX501135"/>
    <x v="6"/>
    <x v="0"/>
    <n v="94"/>
    <n v="94"/>
    <x v="44"/>
    <x v="42"/>
    <x v="2"/>
    <x v="1"/>
    <x v="2"/>
    <x v="0"/>
    <x v="10"/>
    <x v="7"/>
    <x v="6"/>
    <x v="2"/>
  </r>
  <r>
    <s v="TX501136"/>
    <x v="10"/>
    <x v="0"/>
    <n v="22.3"/>
    <n v="22.3"/>
    <x v="44"/>
    <x v="48"/>
    <x v="1"/>
    <x v="4"/>
    <x v="0"/>
    <x v="0"/>
    <x v="20"/>
    <x v="3"/>
    <x v="6"/>
    <x v="1"/>
  </r>
  <r>
    <s v="TX501137"/>
    <x v="0"/>
    <x v="0"/>
    <n v="21.9"/>
    <n v="21.9"/>
    <x v="44"/>
    <x v="43"/>
    <x v="2"/>
    <x v="2"/>
    <x v="0"/>
    <x v="0"/>
    <x v="21"/>
    <x v="2"/>
    <x v="6"/>
    <x v="2"/>
  </r>
  <r>
    <s v="TX501138"/>
    <x v="17"/>
    <x v="2"/>
    <n v="27"/>
    <n v="81"/>
    <x v="44"/>
    <x v="41"/>
    <x v="2"/>
    <x v="4"/>
    <x v="2"/>
    <x v="0"/>
    <x v="2"/>
    <x v="1"/>
    <x v="6"/>
    <x v="2"/>
  </r>
  <r>
    <s v="TX501139"/>
    <x v="2"/>
    <x v="12"/>
    <n v="149.6"/>
    <n v="598.4"/>
    <x v="44"/>
    <x v="42"/>
    <x v="2"/>
    <x v="4"/>
    <x v="0"/>
    <x v="0"/>
    <x v="22"/>
    <x v="7"/>
    <x v="6"/>
    <x v="2"/>
  </r>
  <r>
    <s v="TX501140"/>
    <x v="2"/>
    <x v="12"/>
    <n v="129.1"/>
    <n v="516.4"/>
    <x v="44"/>
    <x v="54"/>
    <x v="1"/>
    <x v="0"/>
    <x v="1"/>
    <x v="0"/>
    <x v="3"/>
    <x v="14"/>
    <x v="6"/>
    <x v="1"/>
  </r>
  <r>
    <s v="TX501141"/>
    <x v="1"/>
    <x v="4"/>
    <n v="40.4"/>
    <n v="484.79999999999995"/>
    <x v="44"/>
    <x v="48"/>
    <x v="1"/>
    <x v="1"/>
    <x v="1"/>
    <x v="0"/>
    <x v="3"/>
    <x v="3"/>
    <x v="6"/>
    <x v="1"/>
  </r>
  <r>
    <s v="TX501142"/>
    <x v="4"/>
    <x v="2"/>
    <n v="48.5"/>
    <n v="145.5"/>
    <x v="44"/>
    <x v="41"/>
    <x v="2"/>
    <x v="0"/>
    <x v="4"/>
    <x v="0"/>
    <x v="3"/>
    <x v="1"/>
    <x v="6"/>
    <x v="2"/>
  </r>
  <r>
    <s v="TX501143"/>
    <x v="9"/>
    <x v="1"/>
    <n v="37.6"/>
    <n v="75.2"/>
    <x v="44"/>
    <x v="41"/>
    <x v="2"/>
    <x v="1"/>
    <x v="2"/>
    <x v="0"/>
    <x v="3"/>
    <x v="1"/>
    <x v="6"/>
    <x v="2"/>
  </r>
  <r>
    <s v="TX501144"/>
    <x v="8"/>
    <x v="1"/>
    <n v="19.600000000000001"/>
    <n v="39.200000000000003"/>
    <x v="44"/>
    <x v="48"/>
    <x v="1"/>
    <x v="3"/>
    <x v="4"/>
    <x v="0"/>
    <x v="43"/>
    <x v="3"/>
    <x v="6"/>
    <x v="1"/>
  </r>
  <r>
    <s v="TX501145"/>
    <x v="8"/>
    <x v="9"/>
    <n v="18.5"/>
    <n v="92.5"/>
    <x v="44"/>
    <x v="48"/>
    <x v="2"/>
    <x v="2"/>
    <x v="1"/>
    <x v="0"/>
    <x v="6"/>
    <x v="3"/>
    <x v="6"/>
    <x v="2"/>
  </r>
  <r>
    <s v="TX501146"/>
    <x v="5"/>
    <x v="2"/>
    <n v="25.5"/>
    <n v="76.5"/>
    <x v="44"/>
    <x v="41"/>
    <x v="2"/>
    <x v="4"/>
    <x v="1"/>
    <x v="0"/>
    <x v="6"/>
    <x v="1"/>
    <x v="6"/>
    <x v="2"/>
  </r>
  <r>
    <s v="TX501147"/>
    <x v="2"/>
    <x v="1"/>
    <n v="94.7"/>
    <n v="189.4"/>
    <x v="44"/>
    <x v="48"/>
    <x v="2"/>
    <x v="2"/>
    <x v="0"/>
    <x v="0"/>
    <x v="36"/>
    <x v="3"/>
    <x v="6"/>
    <x v="2"/>
  </r>
  <r>
    <s v="TX501148"/>
    <x v="1"/>
    <x v="13"/>
    <n v="38.799999999999997"/>
    <n v="232.79999999999998"/>
    <x v="44"/>
    <x v="46"/>
    <x v="2"/>
    <x v="2"/>
    <x v="2"/>
    <x v="0"/>
    <x v="8"/>
    <x v="0"/>
    <x v="6"/>
    <x v="2"/>
  </r>
  <r>
    <s v="TX501149"/>
    <x v="9"/>
    <x v="1"/>
    <n v="49.4"/>
    <n v="98.8"/>
    <x v="45"/>
    <x v="55"/>
    <x v="1"/>
    <x v="4"/>
    <x v="1"/>
    <x v="0"/>
    <x v="8"/>
    <x v="9"/>
    <x v="6"/>
    <x v="1"/>
  </r>
  <r>
    <s v="TX501150"/>
    <x v="7"/>
    <x v="2"/>
    <n v="68"/>
    <n v="204"/>
    <x v="45"/>
    <x v="50"/>
    <x v="1"/>
    <x v="0"/>
    <x v="2"/>
    <x v="0"/>
    <x v="8"/>
    <x v="2"/>
    <x v="6"/>
    <x v="1"/>
  </r>
  <r>
    <s v="TX501151"/>
    <x v="15"/>
    <x v="3"/>
    <n v="63.7"/>
    <n v="445.90000000000003"/>
    <x v="45"/>
    <x v="41"/>
    <x v="2"/>
    <x v="2"/>
    <x v="2"/>
    <x v="0"/>
    <x v="8"/>
    <x v="3"/>
    <x v="6"/>
    <x v="2"/>
  </r>
  <r>
    <s v="TX501152"/>
    <x v="10"/>
    <x v="1"/>
    <n v="66.2"/>
    <n v="132.4"/>
    <x v="45"/>
    <x v="41"/>
    <x v="2"/>
    <x v="4"/>
    <x v="2"/>
    <x v="0"/>
    <x v="17"/>
    <x v="3"/>
    <x v="6"/>
    <x v="2"/>
  </r>
  <r>
    <s v="TX501153"/>
    <x v="12"/>
    <x v="2"/>
    <n v="32.299999999999997"/>
    <n v="96.899999999999991"/>
    <x v="45"/>
    <x v="41"/>
    <x v="3"/>
    <x v="2"/>
    <x v="1"/>
    <x v="0"/>
    <x v="9"/>
    <x v="3"/>
    <x v="6"/>
    <x v="3"/>
  </r>
  <r>
    <s v="TX501154"/>
    <x v="4"/>
    <x v="1"/>
    <n v="66.900000000000006"/>
    <n v="133.80000000000001"/>
    <x v="45"/>
    <x v="50"/>
    <x v="1"/>
    <x v="1"/>
    <x v="0"/>
    <x v="0"/>
    <x v="11"/>
    <x v="2"/>
    <x v="6"/>
    <x v="1"/>
  </r>
  <r>
    <s v="TX501155"/>
    <x v="4"/>
    <x v="4"/>
    <n v="25.2"/>
    <n v="302.39999999999998"/>
    <x v="45"/>
    <x v="46"/>
    <x v="2"/>
    <x v="0"/>
    <x v="1"/>
    <x v="0"/>
    <x v="11"/>
    <x v="5"/>
    <x v="6"/>
    <x v="2"/>
  </r>
  <r>
    <s v="TX501156"/>
    <x v="10"/>
    <x v="13"/>
    <n v="29.5"/>
    <n v="177"/>
    <x v="45"/>
    <x v="41"/>
    <x v="1"/>
    <x v="2"/>
    <x v="0"/>
    <x v="0"/>
    <x v="11"/>
    <x v="3"/>
    <x v="6"/>
    <x v="1"/>
  </r>
  <r>
    <s v="TX501157"/>
    <x v="8"/>
    <x v="9"/>
    <n v="21.6"/>
    <n v="108"/>
    <x v="45"/>
    <x v="43"/>
    <x v="2"/>
    <x v="0"/>
    <x v="2"/>
    <x v="0"/>
    <x v="32"/>
    <x v="1"/>
    <x v="6"/>
    <x v="2"/>
  </r>
  <r>
    <s v="TX501158"/>
    <x v="12"/>
    <x v="2"/>
    <n v="69"/>
    <n v="207"/>
    <x v="45"/>
    <x v="41"/>
    <x v="2"/>
    <x v="0"/>
    <x v="0"/>
    <x v="0"/>
    <x v="18"/>
    <x v="3"/>
    <x v="6"/>
    <x v="2"/>
  </r>
  <r>
    <s v="TX501159"/>
    <x v="7"/>
    <x v="1"/>
    <n v="115"/>
    <n v="230"/>
    <x v="45"/>
    <x v="46"/>
    <x v="1"/>
    <x v="0"/>
    <x v="2"/>
    <x v="0"/>
    <x v="18"/>
    <x v="5"/>
    <x v="6"/>
    <x v="1"/>
  </r>
  <r>
    <s v="TX501160"/>
    <x v="2"/>
    <x v="1"/>
    <n v="109.3"/>
    <n v="218.6"/>
    <x v="45"/>
    <x v="43"/>
    <x v="0"/>
    <x v="3"/>
    <x v="1"/>
    <x v="0"/>
    <x v="19"/>
    <x v="1"/>
    <x v="6"/>
    <x v="0"/>
  </r>
  <r>
    <s v="TX501161"/>
    <x v="9"/>
    <x v="1"/>
    <n v="66.599999999999994"/>
    <n v="133.19999999999999"/>
    <x v="45"/>
    <x v="50"/>
    <x v="0"/>
    <x v="4"/>
    <x v="1"/>
    <x v="0"/>
    <x v="19"/>
    <x v="2"/>
    <x v="6"/>
    <x v="0"/>
  </r>
  <r>
    <s v="TX501162"/>
    <x v="12"/>
    <x v="9"/>
    <n v="47.7"/>
    <n v="238.5"/>
    <x v="45"/>
    <x v="41"/>
    <x v="1"/>
    <x v="3"/>
    <x v="2"/>
    <x v="0"/>
    <x v="21"/>
    <x v="3"/>
    <x v="6"/>
    <x v="1"/>
  </r>
  <r>
    <s v="TX501163"/>
    <x v="8"/>
    <x v="1"/>
    <n v="46"/>
    <n v="92"/>
    <x v="45"/>
    <x v="41"/>
    <x v="2"/>
    <x v="4"/>
    <x v="4"/>
    <x v="0"/>
    <x v="22"/>
    <x v="3"/>
    <x v="6"/>
    <x v="2"/>
  </r>
  <r>
    <s v="TX501164"/>
    <x v="1"/>
    <x v="13"/>
    <n v="39.299999999999997"/>
    <n v="235.79999999999998"/>
    <x v="45"/>
    <x v="43"/>
    <x v="1"/>
    <x v="3"/>
    <x v="2"/>
    <x v="0"/>
    <x v="3"/>
    <x v="1"/>
    <x v="6"/>
    <x v="1"/>
  </r>
  <r>
    <s v="TX501165"/>
    <x v="9"/>
    <x v="0"/>
    <n v="70.2"/>
    <n v="70.2"/>
    <x v="45"/>
    <x v="41"/>
    <x v="2"/>
    <x v="0"/>
    <x v="4"/>
    <x v="0"/>
    <x v="3"/>
    <x v="3"/>
    <x v="6"/>
    <x v="2"/>
  </r>
  <r>
    <s v="TX501166"/>
    <x v="3"/>
    <x v="12"/>
    <n v="71.5"/>
    <n v="286"/>
    <x v="45"/>
    <x v="48"/>
    <x v="2"/>
    <x v="1"/>
    <x v="2"/>
    <x v="0"/>
    <x v="3"/>
    <x v="7"/>
    <x v="6"/>
    <x v="2"/>
  </r>
  <r>
    <s v="TX501167"/>
    <x v="10"/>
    <x v="3"/>
    <n v="31"/>
    <n v="217"/>
    <x v="45"/>
    <x v="56"/>
    <x v="2"/>
    <x v="3"/>
    <x v="2"/>
    <x v="0"/>
    <x v="3"/>
    <x v="6"/>
    <x v="6"/>
    <x v="2"/>
  </r>
  <r>
    <s v="TX501168"/>
    <x v="2"/>
    <x v="9"/>
    <n v="68.2"/>
    <n v="341"/>
    <x v="45"/>
    <x v="49"/>
    <x v="2"/>
    <x v="0"/>
    <x v="2"/>
    <x v="0"/>
    <x v="3"/>
    <x v="0"/>
    <x v="6"/>
    <x v="2"/>
  </r>
  <r>
    <s v="TX501169"/>
    <x v="2"/>
    <x v="0"/>
    <n v="91.4"/>
    <n v="91.4"/>
    <x v="45"/>
    <x v="46"/>
    <x v="2"/>
    <x v="1"/>
    <x v="2"/>
    <x v="0"/>
    <x v="6"/>
    <x v="5"/>
    <x v="6"/>
    <x v="2"/>
  </r>
  <r>
    <s v="TX501170"/>
    <x v="6"/>
    <x v="7"/>
    <n v="112.9"/>
    <n v="1129"/>
    <x v="45"/>
    <x v="41"/>
    <x v="2"/>
    <x v="0"/>
    <x v="0"/>
    <x v="0"/>
    <x v="6"/>
    <x v="3"/>
    <x v="6"/>
    <x v="2"/>
  </r>
  <r>
    <s v="TX501171"/>
    <x v="17"/>
    <x v="11"/>
    <n v="33.700000000000003"/>
    <n v="303.3"/>
    <x v="45"/>
    <x v="41"/>
    <x v="2"/>
    <x v="1"/>
    <x v="2"/>
    <x v="0"/>
    <x v="8"/>
    <x v="3"/>
    <x v="6"/>
    <x v="2"/>
  </r>
  <r>
    <s v="TX501172"/>
    <x v="15"/>
    <x v="7"/>
    <n v="35.299999999999997"/>
    <n v="353"/>
    <x v="45"/>
    <x v="43"/>
    <x v="1"/>
    <x v="2"/>
    <x v="0"/>
    <x v="0"/>
    <x v="8"/>
    <x v="1"/>
    <x v="6"/>
    <x v="1"/>
  </r>
  <r>
    <s v="TX501173"/>
    <x v="18"/>
    <x v="2"/>
    <n v="45.6"/>
    <n v="136.80000000000001"/>
    <x v="45"/>
    <x v="46"/>
    <x v="1"/>
    <x v="3"/>
    <x v="0"/>
    <x v="0"/>
    <x v="8"/>
    <x v="5"/>
    <x v="6"/>
    <x v="1"/>
  </r>
  <r>
    <s v="TX501174"/>
    <x v="7"/>
    <x v="3"/>
    <n v="47.1"/>
    <n v="329.7"/>
    <x v="45"/>
    <x v="41"/>
    <x v="2"/>
    <x v="4"/>
    <x v="2"/>
    <x v="0"/>
    <x v="9"/>
    <x v="3"/>
    <x v="6"/>
    <x v="2"/>
  </r>
  <r>
    <s v="TX501175"/>
    <x v="8"/>
    <x v="9"/>
    <n v="16.2"/>
    <n v="81"/>
    <x v="45"/>
    <x v="43"/>
    <x v="2"/>
    <x v="3"/>
    <x v="2"/>
    <x v="0"/>
    <x v="19"/>
    <x v="1"/>
    <x v="6"/>
    <x v="2"/>
  </r>
  <r>
    <s v="TX501176"/>
    <x v="1"/>
    <x v="1"/>
    <n v="159.69999999999999"/>
    <n v="319.39999999999998"/>
    <x v="46"/>
    <x v="43"/>
    <x v="1"/>
    <x v="4"/>
    <x v="0"/>
    <x v="0"/>
    <x v="13"/>
    <x v="3"/>
    <x v="7"/>
    <x v="1"/>
  </r>
  <r>
    <s v="TX501177"/>
    <x v="8"/>
    <x v="12"/>
    <n v="19"/>
    <n v="76"/>
    <x v="46"/>
    <x v="55"/>
    <x v="2"/>
    <x v="2"/>
    <x v="2"/>
    <x v="0"/>
    <x v="21"/>
    <x v="6"/>
    <x v="7"/>
    <x v="2"/>
  </r>
  <r>
    <s v="TX501178"/>
    <x v="6"/>
    <x v="13"/>
    <n v="91.1"/>
    <n v="546.59999999999991"/>
    <x v="46"/>
    <x v="51"/>
    <x v="2"/>
    <x v="4"/>
    <x v="0"/>
    <x v="0"/>
    <x v="21"/>
    <x v="8"/>
    <x v="7"/>
    <x v="2"/>
  </r>
  <r>
    <s v="TX501179"/>
    <x v="2"/>
    <x v="9"/>
    <n v="94.1"/>
    <n v="470.5"/>
    <x v="46"/>
    <x v="46"/>
    <x v="0"/>
    <x v="1"/>
    <x v="1"/>
    <x v="0"/>
    <x v="21"/>
    <x v="2"/>
    <x v="7"/>
    <x v="0"/>
  </r>
  <r>
    <s v="TX501180"/>
    <x v="9"/>
    <x v="11"/>
    <n v="21.1"/>
    <n v="189.9"/>
    <x v="46"/>
    <x v="43"/>
    <x v="2"/>
    <x v="4"/>
    <x v="2"/>
    <x v="0"/>
    <x v="51"/>
    <x v="3"/>
    <x v="7"/>
    <x v="2"/>
  </r>
  <r>
    <s v="TX501181"/>
    <x v="8"/>
    <x v="3"/>
    <n v="15.3"/>
    <n v="107.10000000000001"/>
    <x v="46"/>
    <x v="54"/>
    <x v="2"/>
    <x v="2"/>
    <x v="0"/>
    <x v="0"/>
    <x v="1"/>
    <x v="9"/>
    <x v="7"/>
    <x v="2"/>
  </r>
  <r>
    <s v="TX501182"/>
    <x v="15"/>
    <x v="12"/>
    <n v="21.3"/>
    <n v="85.2"/>
    <x v="46"/>
    <x v="46"/>
    <x v="1"/>
    <x v="1"/>
    <x v="0"/>
    <x v="0"/>
    <x v="3"/>
    <x v="2"/>
    <x v="7"/>
    <x v="1"/>
  </r>
  <r>
    <s v="TX501183"/>
    <x v="0"/>
    <x v="1"/>
    <n v="23.2"/>
    <n v="46.4"/>
    <x v="46"/>
    <x v="41"/>
    <x v="0"/>
    <x v="3"/>
    <x v="1"/>
    <x v="0"/>
    <x v="3"/>
    <x v="7"/>
    <x v="7"/>
    <x v="0"/>
  </r>
  <r>
    <s v="TX501184"/>
    <x v="4"/>
    <x v="2"/>
    <n v="25.7"/>
    <n v="77.099999999999994"/>
    <x v="46"/>
    <x v="43"/>
    <x v="1"/>
    <x v="4"/>
    <x v="0"/>
    <x v="0"/>
    <x v="3"/>
    <x v="3"/>
    <x v="7"/>
    <x v="1"/>
  </r>
  <r>
    <s v="TX501185"/>
    <x v="0"/>
    <x v="11"/>
    <n v="31.6"/>
    <n v="284.40000000000003"/>
    <x v="46"/>
    <x v="50"/>
    <x v="2"/>
    <x v="0"/>
    <x v="0"/>
    <x v="0"/>
    <x v="3"/>
    <x v="1"/>
    <x v="7"/>
    <x v="2"/>
  </r>
  <r>
    <s v="TX501186"/>
    <x v="6"/>
    <x v="0"/>
    <n v="64.2"/>
    <n v="64.2"/>
    <x v="46"/>
    <x v="47"/>
    <x v="1"/>
    <x v="0"/>
    <x v="0"/>
    <x v="0"/>
    <x v="3"/>
    <x v="0"/>
    <x v="7"/>
    <x v="1"/>
  </r>
  <r>
    <s v="TX501187"/>
    <x v="8"/>
    <x v="1"/>
    <n v="55.8"/>
    <n v="111.6"/>
    <x v="46"/>
    <x v="50"/>
    <x v="0"/>
    <x v="0"/>
    <x v="0"/>
    <x v="0"/>
    <x v="3"/>
    <x v="1"/>
    <x v="7"/>
    <x v="0"/>
  </r>
  <r>
    <s v="TX501188"/>
    <x v="8"/>
    <x v="1"/>
    <n v="28.1"/>
    <n v="56.2"/>
    <x v="46"/>
    <x v="43"/>
    <x v="2"/>
    <x v="4"/>
    <x v="1"/>
    <x v="0"/>
    <x v="3"/>
    <x v="3"/>
    <x v="7"/>
    <x v="2"/>
  </r>
  <r>
    <s v="TX501189"/>
    <x v="0"/>
    <x v="1"/>
    <n v="11.6"/>
    <n v="23.2"/>
    <x v="46"/>
    <x v="50"/>
    <x v="2"/>
    <x v="1"/>
    <x v="0"/>
    <x v="0"/>
    <x v="24"/>
    <x v="1"/>
    <x v="7"/>
    <x v="2"/>
  </r>
  <r>
    <s v="TX501190"/>
    <x v="5"/>
    <x v="2"/>
    <n v="50.4"/>
    <n v="151.19999999999999"/>
    <x v="46"/>
    <x v="43"/>
    <x v="1"/>
    <x v="4"/>
    <x v="2"/>
    <x v="0"/>
    <x v="25"/>
    <x v="3"/>
    <x v="7"/>
    <x v="1"/>
  </r>
  <r>
    <s v="TX501191"/>
    <x v="6"/>
    <x v="13"/>
    <n v="48.3"/>
    <n v="289.79999999999995"/>
    <x v="46"/>
    <x v="49"/>
    <x v="2"/>
    <x v="0"/>
    <x v="0"/>
    <x v="0"/>
    <x v="25"/>
    <x v="5"/>
    <x v="7"/>
    <x v="2"/>
  </r>
  <r>
    <s v="TX501192"/>
    <x v="17"/>
    <x v="3"/>
    <n v="32.200000000000003"/>
    <n v="225.40000000000003"/>
    <x v="46"/>
    <x v="50"/>
    <x v="2"/>
    <x v="2"/>
    <x v="0"/>
    <x v="0"/>
    <x v="25"/>
    <x v="1"/>
    <x v="7"/>
    <x v="2"/>
  </r>
  <r>
    <s v="TX501193"/>
    <x v="7"/>
    <x v="31"/>
    <n v="48.5"/>
    <n v="1358"/>
    <x v="46"/>
    <x v="43"/>
    <x v="1"/>
    <x v="0"/>
    <x v="0"/>
    <x v="0"/>
    <x v="5"/>
    <x v="3"/>
    <x v="7"/>
    <x v="1"/>
  </r>
  <r>
    <s v="TX501194"/>
    <x v="2"/>
    <x v="9"/>
    <n v="62"/>
    <n v="310"/>
    <x v="46"/>
    <x v="46"/>
    <x v="2"/>
    <x v="1"/>
    <x v="0"/>
    <x v="0"/>
    <x v="6"/>
    <x v="2"/>
    <x v="7"/>
    <x v="2"/>
  </r>
  <r>
    <s v="TX501195"/>
    <x v="8"/>
    <x v="2"/>
    <n v="32.1"/>
    <n v="96.300000000000011"/>
    <x v="47"/>
    <x v="46"/>
    <x v="1"/>
    <x v="0"/>
    <x v="0"/>
    <x v="0"/>
    <x v="6"/>
    <x v="1"/>
    <x v="7"/>
    <x v="1"/>
  </r>
  <r>
    <s v="TX501196"/>
    <x v="12"/>
    <x v="2"/>
    <n v="106.1"/>
    <n v="318.29999999999995"/>
    <x v="47"/>
    <x v="46"/>
    <x v="1"/>
    <x v="0"/>
    <x v="1"/>
    <x v="0"/>
    <x v="7"/>
    <x v="1"/>
    <x v="7"/>
    <x v="1"/>
  </r>
  <r>
    <s v="TX501197"/>
    <x v="10"/>
    <x v="2"/>
    <n v="23.5"/>
    <n v="70.5"/>
    <x v="47"/>
    <x v="49"/>
    <x v="1"/>
    <x v="0"/>
    <x v="4"/>
    <x v="0"/>
    <x v="7"/>
    <x v="2"/>
    <x v="7"/>
    <x v="1"/>
  </r>
  <r>
    <s v="TX501198"/>
    <x v="1"/>
    <x v="1"/>
    <n v="35.6"/>
    <n v="71.2"/>
    <x v="47"/>
    <x v="56"/>
    <x v="1"/>
    <x v="4"/>
    <x v="0"/>
    <x v="0"/>
    <x v="8"/>
    <x v="0"/>
    <x v="7"/>
    <x v="1"/>
  </r>
  <r>
    <s v="TX501199"/>
    <x v="1"/>
    <x v="1"/>
    <n v="63.5"/>
    <n v="127"/>
    <x v="47"/>
    <x v="43"/>
    <x v="2"/>
    <x v="1"/>
    <x v="2"/>
    <x v="0"/>
    <x v="8"/>
    <x v="7"/>
    <x v="7"/>
    <x v="2"/>
  </r>
  <r>
    <s v="TX501200"/>
    <x v="6"/>
    <x v="3"/>
    <n v="82.9"/>
    <n v="580.30000000000007"/>
    <x v="47"/>
    <x v="56"/>
    <x v="2"/>
    <x v="4"/>
    <x v="0"/>
    <x v="0"/>
    <x v="9"/>
    <x v="0"/>
    <x v="7"/>
    <x v="2"/>
  </r>
  <r>
    <s v="TX501201"/>
    <x v="6"/>
    <x v="1"/>
    <n v="83.6"/>
    <n v="167.2"/>
    <x v="47"/>
    <x v="56"/>
    <x v="2"/>
    <x v="0"/>
    <x v="0"/>
    <x v="0"/>
    <x v="11"/>
    <x v="0"/>
    <x v="7"/>
    <x v="2"/>
  </r>
  <r>
    <s v="TX501202"/>
    <x v="4"/>
    <x v="1"/>
    <n v="29.4"/>
    <n v="58.8"/>
    <x v="47"/>
    <x v="43"/>
    <x v="2"/>
    <x v="0"/>
    <x v="1"/>
    <x v="0"/>
    <x v="30"/>
    <x v="7"/>
    <x v="7"/>
    <x v="2"/>
  </r>
  <r>
    <s v="TX501203"/>
    <x v="2"/>
    <x v="2"/>
    <n v="107.1"/>
    <n v="321.29999999999995"/>
    <x v="47"/>
    <x v="47"/>
    <x v="2"/>
    <x v="2"/>
    <x v="0"/>
    <x v="0"/>
    <x v="20"/>
    <x v="5"/>
    <x v="7"/>
    <x v="2"/>
  </r>
  <r>
    <s v="TX501204"/>
    <x v="2"/>
    <x v="0"/>
    <n v="62.7"/>
    <n v="62.7"/>
    <x v="47"/>
    <x v="47"/>
    <x v="1"/>
    <x v="1"/>
    <x v="0"/>
    <x v="0"/>
    <x v="21"/>
    <x v="5"/>
    <x v="7"/>
    <x v="1"/>
  </r>
  <r>
    <s v="TX501205"/>
    <x v="11"/>
    <x v="0"/>
    <n v="41.6"/>
    <n v="41.6"/>
    <x v="47"/>
    <x v="50"/>
    <x v="1"/>
    <x v="0"/>
    <x v="1"/>
    <x v="0"/>
    <x v="1"/>
    <x v="3"/>
    <x v="7"/>
    <x v="1"/>
  </r>
  <r>
    <s v="TX501206"/>
    <x v="6"/>
    <x v="0"/>
    <n v="44.2"/>
    <n v="44.2"/>
    <x v="47"/>
    <x v="50"/>
    <x v="3"/>
    <x v="0"/>
    <x v="1"/>
    <x v="0"/>
    <x v="1"/>
    <x v="3"/>
    <x v="7"/>
    <x v="3"/>
  </r>
  <r>
    <s v="TX501207"/>
    <x v="4"/>
    <x v="13"/>
    <n v="40.4"/>
    <n v="242.39999999999998"/>
    <x v="47"/>
    <x v="57"/>
    <x v="2"/>
    <x v="2"/>
    <x v="0"/>
    <x v="0"/>
    <x v="22"/>
    <x v="10"/>
    <x v="7"/>
    <x v="2"/>
  </r>
  <r>
    <s v="TX501208"/>
    <x v="15"/>
    <x v="13"/>
    <n v="59.6"/>
    <n v="357.6"/>
    <x v="47"/>
    <x v="50"/>
    <x v="2"/>
    <x v="4"/>
    <x v="0"/>
    <x v="0"/>
    <x v="34"/>
    <x v="3"/>
    <x v="7"/>
    <x v="2"/>
  </r>
  <r>
    <s v="TX501209"/>
    <x v="17"/>
    <x v="4"/>
    <n v="63.8"/>
    <n v="765.59999999999991"/>
    <x v="47"/>
    <x v="50"/>
    <x v="1"/>
    <x v="1"/>
    <x v="0"/>
    <x v="0"/>
    <x v="3"/>
    <x v="3"/>
    <x v="7"/>
    <x v="1"/>
  </r>
  <r>
    <s v="TX501210"/>
    <x v="9"/>
    <x v="13"/>
    <n v="30.8"/>
    <n v="184.8"/>
    <x v="47"/>
    <x v="46"/>
    <x v="1"/>
    <x v="4"/>
    <x v="0"/>
    <x v="0"/>
    <x v="3"/>
    <x v="1"/>
    <x v="7"/>
    <x v="1"/>
  </r>
  <r>
    <s v="TX501211"/>
    <x v="1"/>
    <x v="1"/>
    <n v="41.5"/>
    <n v="83"/>
    <x v="47"/>
    <x v="49"/>
    <x v="3"/>
    <x v="0"/>
    <x v="0"/>
    <x v="0"/>
    <x v="3"/>
    <x v="2"/>
    <x v="7"/>
    <x v="3"/>
  </r>
  <r>
    <s v="TX501212"/>
    <x v="10"/>
    <x v="12"/>
    <n v="44.7"/>
    <n v="178.8"/>
    <x v="47"/>
    <x v="46"/>
    <x v="2"/>
    <x v="2"/>
    <x v="1"/>
    <x v="0"/>
    <x v="3"/>
    <x v="1"/>
    <x v="7"/>
    <x v="2"/>
  </r>
  <r>
    <s v="TX501213"/>
    <x v="12"/>
    <x v="1"/>
    <n v="64.099999999999994"/>
    <n v="128.19999999999999"/>
    <x v="47"/>
    <x v="47"/>
    <x v="2"/>
    <x v="1"/>
    <x v="4"/>
    <x v="0"/>
    <x v="3"/>
    <x v="5"/>
    <x v="7"/>
    <x v="2"/>
  </r>
  <r>
    <s v="TX501214"/>
    <x v="8"/>
    <x v="0"/>
    <n v="15.9"/>
    <n v="15.9"/>
    <x v="47"/>
    <x v="49"/>
    <x v="0"/>
    <x v="1"/>
    <x v="0"/>
    <x v="0"/>
    <x v="3"/>
    <x v="2"/>
    <x v="7"/>
    <x v="0"/>
  </r>
  <r>
    <s v="TX501215"/>
    <x v="6"/>
    <x v="1"/>
    <n v="78.7"/>
    <n v="157.4"/>
    <x v="47"/>
    <x v="43"/>
    <x v="2"/>
    <x v="2"/>
    <x v="1"/>
    <x v="0"/>
    <x v="3"/>
    <x v="7"/>
    <x v="7"/>
    <x v="2"/>
  </r>
  <r>
    <s v="TX501216"/>
    <x v="5"/>
    <x v="4"/>
    <n v="29.6"/>
    <n v="355.20000000000005"/>
    <x v="47"/>
    <x v="47"/>
    <x v="1"/>
    <x v="2"/>
    <x v="4"/>
    <x v="0"/>
    <x v="3"/>
    <x v="5"/>
    <x v="7"/>
    <x v="1"/>
  </r>
  <r>
    <s v="TX501217"/>
    <x v="8"/>
    <x v="12"/>
    <n v="21.5"/>
    <n v="86"/>
    <x v="47"/>
    <x v="49"/>
    <x v="1"/>
    <x v="1"/>
    <x v="0"/>
    <x v="0"/>
    <x v="3"/>
    <x v="2"/>
    <x v="7"/>
    <x v="1"/>
  </r>
  <r>
    <s v="TX501218"/>
    <x v="9"/>
    <x v="2"/>
    <n v="74.900000000000006"/>
    <n v="224.70000000000002"/>
    <x v="47"/>
    <x v="52"/>
    <x v="1"/>
    <x v="3"/>
    <x v="1"/>
    <x v="0"/>
    <x v="3"/>
    <x v="8"/>
    <x v="7"/>
    <x v="1"/>
  </r>
  <r>
    <s v="TX501219"/>
    <x v="10"/>
    <x v="13"/>
    <n v="45"/>
    <n v="270"/>
    <x v="47"/>
    <x v="56"/>
    <x v="2"/>
    <x v="2"/>
    <x v="0"/>
    <x v="0"/>
    <x v="3"/>
    <x v="0"/>
    <x v="7"/>
    <x v="2"/>
  </r>
  <r>
    <s v="TX501220"/>
    <x v="7"/>
    <x v="33"/>
    <n v="37.9"/>
    <n v="1288.5999999999999"/>
    <x v="47"/>
    <x v="50"/>
    <x v="1"/>
    <x v="0"/>
    <x v="0"/>
    <x v="0"/>
    <x v="3"/>
    <x v="3"/>
    <x v="7"/>
    <x v="1"/>
  </r>
  <r>
    <s v="TX501221"/>
    <x v="6"/>
    <x v="2"/>
    <n v="56.6"/>
    <n v="169.8"/>
    <x v="47"/>
    <x v="50"/>
    <x v="1"/>
    <x v="3"/>
    <x v="0"/>
    <x v="0"/>
    <x v="3"/>
    <x v="3"/>
    <x v="7"/>
    <x v="1"/>
  </r>
  <r>
    <s v="TX501222"/>
    <x v="3"/>
    <x v="15"/>
    <n v="84.5"/>
    <n v="1098.5"/>
    <x v="47"/>
    <x v="49"/>
    <x v="2"/>
    <x v="1"/>
    <x v="4"/>
    <x v="0"/>
    <x v="3"/>
    <x v="2"/>
    <x v="7"/>
    <x v="2"/>
  </r>
  <r>
    <s v="TX501223"/>
    <x v="2"/>
    <x v="9"/>
    <n v="105.4"/>
    <n v="527"/>
    <x v="47"/>
    <x v="46"/>
    <x v="2"/>
    <x v="1"/>
    <x v="1"/>
    <x v="0"/>
    <x v="3"/>
    <x v="1"/>
    <x v="7"/>
    <x v="2"/>
  </r>
  <r>
    <s v="TX501224"/>
    <x v="18"/>
    <x v="3"/>
    <n v="39.4"/>
    <n v="275.8"/>
    <x v="48"/>
    <x v="50"/>
    <x v="1"/>
    <x v="1"/>
    <x v="0"/>
    <x v="0"/>
    <x v="37"/>
    <x v="7"/>
    <x v="7"/>
    <x v="1"/>
  </r>
  <r>
    <s v="TX501225"/>
    <x v="19"/>
    <x v="2"/>
    <n v="38"/>
    <n v="114"/>
    <x v="48"/>
    <x v="47"/>
    <x v="1"/>
    <x v="4"/>
    <x v="1"/>
    <x v="0"/>
    <x v="6"/>
    <x v="2"/>
    <x v="7"/>
    <x v="1"/>
  </r>
  <r>
    <s v="TX501226"/>
    <x v="17"/>
    <x v="12"/>
    <n v="42.5"/>
    <n v="170"/>
    <x v="48"/>
    <x v="49"/>
    <x v="0"/>
    <x v="0"/>
    <x v="0"/>
    <x v="0"/>
    <x v="6"/>
    <x v="1"/>
    <x v="7"/>
    <x v="0"/>
  </r>
  <r>
    <s v="TX501227"/>
    <x v="15"/>
    <x v="0"/>
    <n v="62.3"/>
    <n v="62.3"/>
    <x v="48"/>
    <x v="53"/>
    <x v="1"/>
    <x v="0"/>
    <x v="2"/>
    <x v="0"/>
    <x v="6"/>
    <x v="8"/>
    <x v="7"/>
    <x v="1"/>
  </r>
  <r>
    <s v="TX501228"/>
    <x v="6"/>
    <x v="9"/>
    <n v="49.1"/>
    <n v="245.5"/>
    <x v="48"/>
    <x v="49"/>
    <x v="2"/>
    <x v="1"/>
    <x v="2"/>
    <x v="0"/>
    <x v="7"/>
    <x v="1"/>
    <x v="7"/>
    <x v="2"/>
  </r>
  <r>
    <s v="TX501229"/>
    <x v="3"/>
    <x v="1"/>
    <n v="30.5"/>
    <n v="61"/>
    <x v="48"/>
    <x v="47"/>
    <x v="1"/>
    <x v="0"/>
    <x v="2"/>
    <x v="0"/>
    <x v="8"/>
    <x v="2"/>
    <x v="7"/>
    <x v="1"/>
  </r>
  <r>
    <s v="TX501230"/>
    <x v="2"/>
    <x v="1"/>
    <n v="154.80000000000001"/>
    <n v="309.60000000000002"/>
    <x v="48"/>
    <x v="47"/>
    <x v="2"/>
    <x v="1"/>
    <x v="4"/>
    <x v="0"/>
    <x v="8"/>
    <x v="2"/>
    <x v="7"/>
    <x v="2"/>
  </r>
  <r>
    <s v="TX501231"/>
    <x v="6"/>
    <x v="0"/>
    <n v="45"/>
    <n v="45"/>
    <x v="48"/>
    <x v="56"/>
    <x v="1"/>
    <x v="3"/>
    <x v="1"/>
    <x v="0"/>
    <x v="8"/>
    <x v="5"/>
    <x v="7"/>
    <x v="1"/>
  </r>
  <r>
    <s v="TX501232"/>
    <x v="0"/>
    <x v="3"/>
    <n v="15.3"/>
    <n v="107.10000000000001"/>
    <x v="48"/>
    <x v="46"/>
    <x v="1"/>
    <x v="0"/>
    <x v="2"/>
    <x v="0"/>
    <x v="8"/>
    <x v="3"/>
    <x v="7"/>
    <x v="1"/>
  </r>
  <r>
    <s v="TX501233"/>
    <x v="2"/>
    <x v="5"/>
    <n v="88.6"/>
    <n v="974.59999999999991"/>
    <x v="48"/>
    <x v="47"/>
    <x v="2"/>
    <x v="0"/>
    <x v="4"/>
    <x v="0"/>
    <x v="17"/>
    <x v="2"/>
    <x v="7"/>
    <x v="2"/>
  </r>
  <r>
    <s v="TX501234"/>
    <x v="9"/>
    <x v="1"/>
    <n v="49.7"/>
    <n v="99.4"/>
    <x v="48"/>
    <x v="49"/>
    <x v="3"/>
    <x v="4"/>
    <x v="0"/>
    <x v="0"/>
    <x v="10"/>
    <x v="1"/>
    <x v="7"/>
    <x v="3"/>
  </r>
  <r>
    <s v="TX501235"/>
    <x v="10"/>
    <x v="0"/>
    <n v="29"/>
    <n v="29"/>
    <x v="48"/>
    <x v="46"/>
    <x v="1"/>
    <x v="0"/>
    <x v="0"/>
    <x v="0"/>
    <x v="11"/>
    <x v="3"/>
    <x v="7"/>
    <x v="1"/>
  </r>
  <r>
    <s v="TX501236"/>
    <x v="1"/>
    <x v="0"/>
    <n v="60.7"/>
    <n v="60.7"/>
    <x v="48"/>
    <x v="46"/>
    <x v="3"/>
    <x v="0"/>
    <x v="1"/>
    <x v="0"/>
    <x v="11"/>
    <x v="3"/>
    <x v="7"/>
    <x v="3"/>
  </r>
  <r>
    <s v="TX501237"/>
    <x v="17"/>
    <x v="12"/>
    <n v="87.4"/>
    <n v="349.6"/>
    <x v="48"/>
    <x v="49"/>
    <x v="0"/>
    <x v="0"/>
    <x v="0"/>
    <x v="0"/>
    <x v="11"/>
    <x v="1"/>
    <x v="7"/>
    <x v="0"/>
  </r>
  <r>
    <s v="TX501238"/>
    <x v="4"/>
    <x v="3"/>
    <n v="44.5"/>
    <n v="311.5"/>
    <x v="48"/>
    <x v="56"/>
    <x v="2"/>
    <x v="2"/>
    <x v="2"/>
    <x v="0"/>
    <x v="19"/>
    <x v="5"/>
    <x v="7"/>
    <x v="2"/>
  </r>
  <r>
    <s v="TX501239"/>
    <x v="2"/>
    <x v="0"/>
    <n v="141"/>
    <n v="141"/>
    <x v="48"/>
    <x v="46"/>
    <x v="1"/>
    <x v="4"/>
    <x v="2"/>
    <x v="0"/>
    <x v="19"/>
    <x v="3"/>
    <x v="7"/>
    <x v="1"/>
  </r>
  <r>
    <s v="TX501240"/>
    <x v="0"/>
    <x v="2"/>
    <n v="16.7"/>
    <n v="50.099999999999994"/>
    <x v="48"/>
    <x v="52"/>
    <x v="2"/>
    <x v="0"/>
    <x v="0"/>
    <x v="0"/>
    <x v="20"/>
    <x v="9"/>
    <x v="7"/>
    <x v="2"/>
  </r>
  <r>
    <s v="TX501241"/>
    <x v="1"/>
    <x v="1"/>
    <n v="77.5"/>
    <n v="155"/>
    <x v="48"/>
    <x v="46"/>
    <x v="0"/>
    <x v="2"/>
    <x v="2"/>
    <x v="0"/>
    <x v="13"/>
    <x v="3"/>
    <x v="7"/>
    <x v="0"/>
  </r>
  <r>
    <s v="TX501242"/>
    <x v="2"/>
    <x v="1"/>
    <n v="163"/>
    <n v="326"/>
    <x v="48"/>
    <x v="54"/>
    <x v="2"/>
    <x v="4"/>
    <x v="0"/>
    <x v="0"/>
    <x v="21"/>
    <x v="4"/>
    <x v="7"/>
    <x v="2"/>
  </r>
  <r>
    <s v="TX501243"/>
    <x v="4"/>
    <x v="11"/>
    <n v="21.4"/>
    <n v="192.6"/>
    <x v="48"/>
    <x v="47"/>
    <x v="2"/>
    <x v="0"/>
    <x v="0"/>
    <x v="0"/>
    <x v="51"/>
    <x v="2"/>
    <x v="7"/>
    <x v="2"/>
  </r>
  <r>
    <s v="TX501244"/>
    <x v="10"/>
    <x v="5"/>
    <n v="31"/>
    <n v="341"/>
    <x v="48"/>
    <x v="49"/>
    <x v="2"/>
    <x v="3"/>
    <x v="2"/>
    <x v="0"/>
    <x v="1"/>
    <x v="1"/>
    <x v="7"/>
    <x v="2"/>
  </r>
  <r>
    <s v="TX501245"/>
    <x v="7"/>
    <x v="1"/>
    <n v="34.299999999999997"/>
    <n v="68.599999999999994"/>
    <x v="48"/>
    <x v="49"/>
    <x v="2"/>
    <x v="0"/>
    <x v="3"/>
    <x v="0"/>
    <x v="1"/>
    <x v="1"/>
    <x v="7"/>
    <x v="2"/>
  </r>
  <r>
    <s v="TX501246"/>
    <x v="17"/>
    <x v="9"/>
    <n v="48.2"/>
    <n v="241"/>
    <x v="48"/>
    <x v="46"/>
    <x v="1"/>
    <x v="1"/>
    <x v="1"/>
    <x v="0"/>
    <x v="2"/>
    <x v="3"/>
    <x v="7"/>
    <x v="1"/>
  </r>
  <r>
    <s v="TX501247"/>
    <x v="10"/>
    <x v="0"/>
    <n v="51.4"/>
    <n v="51.4"/>
    <x v="48"/>
    <x v="46"/>
    <x v="1"/>
    <x v="0"/>
    <x v="0"/>
    <x v="0"/>
    <x v="3"/>
    <x v="3"/>
    <x v="7"/>
    <x v="1"/>
  </r>
  <r>
    <s v="TX501248"/>
    <x v="2"/>
    <x v="9"/>
    <n v="117.2"/>
    <n v="586"/>
    <x v="48"/>
    <x v="47"/>
    <x v="2"/>
    <x v="4"/>
    <x v="4"/>
    <x v="0"/>
    <x v="3"/>
    <x v="2"/>
    <x v="7"/>
    <x v="2"/>
  </r>
  <r>
    <s v="TX501249"/>
    <x v="8"/>
    <x v="0"/>
    <n v="38.1"/>
    <n v="38.1"/>
    <x v="48"/>
    <x v="50"/>
    <x v="1"/>
    <x v="4"/>
    <x v="1"/>
    <x v="0"/>
    <x v="3"/>
    <x v="7"/>
    <x v="7"/>
    <x v="1"/>
  </r>
  <r>
    <s v="TX501250"/>
    <x v="0"/>
    <x v="1"/>
    <n v="44.1"/>
    <n v="88.2"/>
    <x v="48"/>
    <x v="49"/>
    <x v="2"/>
    <x v="2"/>
    <x v="0"/>
    <x v="0"/>
    <x v="3"/>
    <x v="1"/>
    <x v="7"/>
    <x v="2"/>
  </r>
  <r>
    <s v="TX501251"/>
    <x v="15"/>
    <x v="12"/>
    <n v="80.5"/>
    <n v="322"/>
    <x v="48"/>
    <x v="55"/>
    <x v="1"/>
    <x v="0"/>
    <x v="0"/>
    <x v="0"/>
    <x v="3"/>
    <x v="0"/>
    <x v="7"/>
    <x v="1"/>
  </r>
  <r>
    <s v="TX501252"/>
    <x v="18"/>
    <x v="12"/>
    <n v="33.6"/>
    <n v="134.4"/>
    <x v="48"/>
    <x v="55"/>
    <x v="0"/>
    <x v="0"/>
    <x v="2"/>
    <x v="0"/>
    <x v="3"/>
    <x v="0"/>
    <x v="7"/>
    <x v="0"/>
  </r>
  <r>
    <s v="TX501253"/>
    <x v="9"/>
    <x v="11"/>
    <n v="41.8"/>
    <n v="376.2"/>
    <x v="48"/>
    <x v="46"/>
    <x v="2"/>
    <x v="0"/>
    <x v="1"/>
    <x v="0"/>
    <x v="3"/>
    <x v="3"/>
    <x v="7"/>
    <x v="2"/>
  </r>
  <r>
    <s v="TX501254"/>
    <x v="1"/>
    <x v="1"/>
    <n v="106.2"/>
    <n v="212.4"/>
    <x v="48"/>
    <x v="50"/>
    <x v="2"/>
    <x v="4"/>
    <x v="2"/>
    <x v="0"/>
    <x v="3"/>
    <x v="7"/>
    <x v="7"/>
    <x v="2"/>
  </r>
  <r>
    <s v="TX501255"/>
    <x v="1"/>
    <x v="1"/>
    <n v="52.6"/>
    <n v="105.2"/>
    <x v="48"/>
    <x v="46"/>
    <x v="2"/>
    <x v="0"/>
    <x v="2"/>
    <x v="0"/>
    <x v="5"/>
    <x v="3"/>
    <x v="7"/>
    <x v="2"/>
  </r>
  <r>
    <s v="TX501256"/>
    <x v="11"/>
    <x v="3"/>
    <n v="68.5"/>
    <n v="479.5"/>
    <x v="48"/>
    <x v="46"/>
    <x v="2"/>
    <x v="1"/>
    <x v="0"/>
    <x v="0"/>
    <x v="5"/>
    <x v="3"/>
    <x v="7"/>
    <x v="2"/>
  </r>
  <r>
    <s v="TX501257"/>
    <x v="1"/>
    <x v="1"/>
    <n v="55.6"/>
    <n v="111.2"/>
    <x v="48"/>
    <x v="49"/>
    <x v="1"/>
    <x v="1"/>
    <x v="2"/>
    <x v="0"/>
    <x v="6"/>
    <x v="1"/>
    <x v="7"/>
    <x v="1"/>
  </r>
  <r>
    <s v="TX501258"/>
    <x v="2"/>
    <x v="2"/>
    <n v="134.9"/>
    <n v="404.70000000000005"/>
    <x v="48"/>
    <x v="46"/>
    <x v="1"/>
    <x v="1"/>
    <x v="1"/>
    <x v="0"/>
    <x v="6"/>
    <x v="3"/>
    <x v="7"/>
    <x v="1"/>
  </r>
  <r>
    <s v="TX501259"/>
    <x v="10"/>
    <x v="9"/>
    <n v="42.6"/>
    <n v="213"/>
    <x v="48"/>
    <x v="46"/>
    <x v="1"/>
    <x v="0"/>
    <x v="0"/>
    <x v="0"/>
    <x v="6"/>
    <x v="3"/>
    <x v="7"/>
    <x v="1"/>
  </r>
  <r>
    <s v="TX501260"/>
    <x v="7"/>
    <x v="9"/>
    <n v="60.6"/>
    <n v="303"/>
    <x v="48"/>
    <x v="49"/>
    <x v="1"/>
    <x v="4"/>
    <x v="0"/>
    <x v="0"/>
    <x v="6"/>
    <x v="1"/>
    <x v="7"/>
    <x v="1"/>
  </r>
  <r>
    <s v="TX501261"/>
    <x v="8"/>
    <x v="1"/>
    <n v="43.5"/>
    <n v="87"/>
    <x v="48"/>
    <x v="46"/>
    <x v="1"/>
    <x v="4"/>
    <x v="0"/>
    <x v="0"/>
    <x v="7"/>
    <x v="3"/>
    <x v="7"/>
    <x v="1"/>
  </r>
  <r>
    <s v="TX501262"/>
    <x v="2"/>
    <x v="1"/>
    <n v="187.1"/>
    <n v="374.2"/>
    <x v="48"/>
    <x v="46"/>
    <x v="1"/>
    <x v="1"/>
    <x v="2"/>
    <x v="0"/>
    <x v="8"/>
    <x v="3"/>
    <x v="7"/>
    <x v="1"/>
  </r>
  <r>
    <s v="TX501263"/>
    <x v="9"/>
    <x v="2"/>
    <n v="32"/>
    <n v="96"/>
    <x v="48"/>
    <x v="49"/>
    <x v="1"/>
    <x v="0"/>
    <x v="0"/>
    <x v="0"/>
    <x v="8"/>
    <x v="1"/>
    <x v="7"/>
    <x v="1"/>
  </r>
  <r>
    <s v="TX501264"/>
    <x v="9"/>
    <x v="1"/>
    <n v="110.8"/>
    <n v="221.6"/>
    <x v="48"/>
    <x v="50"/>
    <x v="1"/>
    <x v="0"/>
    <x v="2"/>
    <x v="0"/>
    <x v="8"/>
    <x v="7"/>
    <x v="7"/>
    <x v="1"/>
  </r>
  <r>
    <s v="TX501265"/>
    <x v="10"/>
    <x v="15"/>
    <n v="36.1"/>
    <n v="469.3"/>
    <x v="48"/>
    <x v="47"/>
    <x v="2"/>
    <x v="0"/>
    <x v="1"/>
    <x v="0"/>
    <x v="8"/>
    <x v="2"/>
    <x v="7"/>
    <x v="2"/>
  </r>
  <r>
    <s v="TX501266"/>
    <x v="0"/>
    <x v="0"/>
    <n v="24.1"/>
    <n v="24.1"/>
    <x v="48"/>
    <x v="49"/>
    <x v="2"/>
    <x v="4"/>
    <x v="2"/>
    <x v="0"/>
    <x v="8"/>
    <x v="1"/>
    <x v="7"/>
    <x v="2"/>
  </r>
  <r>
    <s v="TX501267"/>
    <x v="19"/>
    <x v="2"/>
    <n v="30.5"/>
    <n v="91.5"/>
    <x v="48"/>
    <x v="49"/>
    <x v="1"/>
    <x v="1"/>
    <x v="0"/>
    <x v="0"/>
    <x v="8"/>
    <x v="1"/>
    <x v="7"/>
    <x v="1"/>
  </r>
  <r>
    <s v="TX501268"/>
    <x v="18"/>
    <x v="13"/>
    <n v="68.3"/>
    <n v="409.79999999999995"/>
    <x v="48"/>
    <x v="47"/>
    <x v="1"/>
    <x v="0"/>
    <x v="0"/>
    <x v="0"/>
    <x v="8"/>
    <x v="2"/>
    <x v="7"/>
    <x v="1"/>
  </r>
  <r>
    <s v="TX501269"/>
    <x v="7"/>
    <x v="2"/>
    <n v="43.3"/>
    <n v="129.89999999999998"/>
    <x v="48"/>
    <x v="56"/>
    <x v="2"/>
    <x v="0"/>
    <x v="0"/>
    <x v="0"/>
    <x v="17"/>
    <x v="5"/>
    <x v="7"/>
    <x v="2"/>
  </r>
  <r>
    <s v="TX501270"/>
    <x v="3"/>
    <x v="0"/>
    <n v="101.7"/>
    <n v="101.7"/>
    <x v="48"/>
    <x v="47"/>
    <x v="2"/>
    <x v="0"/>
    <x v="1"/>
    <x v="0"/>
    <x v="17"/>
    <x v="2"/>
    <x v="7"/>
    <x v="2"/>
  </r>
  <r>
    <s v="TX501271"/>
    <x v="11"/>
    <x v="1"/>
    <n v="54.2"/>
    <n v="108.4"/>
    <x v="48"/>
    <x v="46"/>
    <x v="2"/>
    <x v="0"/>
    <x v="1"/>
    <x v="0"/>
    <x v="17"/>
    <x v="3"/>
    <x v="7"/>
    <x v="2"/>
  </r>
  <r>
    <s v="TX501272"/>
    <x v="16"/>
    <x v="1"/>
    <n v="51"/>
    <n v="102"/>
    <x v="48"/>
    <x v="50"/>
    <x v="1"/>
    <x v="1"/>
    <x v="0"/>
    <x v="0"/>
    <x v="26"/>
    <x v="7"/>
    <x v="7"/>
    <x v="1"/>
  </r>
  <r>
    <s v="TX501273"/>
    <x v="4"/>
    <x v="1"/>
    <n v="23.1"/>
    <n v="46.2"/>
    <x v="48"/>
    <x v="47"/>
    <x v="1"/>
    <x v="1"/>
    <x v="0"/>
    <x v="0"/>
    <x v="10"/>
    <x v="2"/>
    <x v="7"/>
    <x v="1"/>
  </r>
  <r>
    <s v="TX501274"/>
    <x v="12"/>
    <x v="13"/>
    <n v="60.1"/>
    <n v="360.6"/>
    <x v="48"/>
    <x v="50"/>
    <x v="2"/>
    <x v="3"/>
    <x v="0"/>
    <x v="0"/>
    <x v="11"/>
    <x v="7"/>
    <x v="7"/>
    <x v="2"/>
  </r>
  <r>
    <s v="TX501275"/>
    <x v="2"/>
    <x v="3"/>
    <n v="87.5"/>
    <n v="612.5"/>
    <x v="48"/>
    <x v="49"/>
    <x v="2"/>
    <x v="0"/>
    <x v="1"/>
    <x v="0"/>
    <x v="11"/>
    <x v="1"/>
    <x v="7"/>
    <x v="2"/>
  </r>
  <r>
    <s v="TX501276"/>
    <x v="1"/>
    <x v="2"/>
    <n v="51"/>
    <n v="153"/>
    <x v="48"/>
    <x v="46"/>
    <x v="2"/>
    <x v="1"/>
    <x v="0"/>
    <x v="0"/>
    <x v="11"/>
    <x v="3"/>
    <x v="7"/>
    <x v="2"/>
  </r>
  <r>
    <s v="TX501277"/>
    <x v="8"/>
    <x v="12"/>
    <n v="19.2"/>
    <n v="76.8"/>
    <x v="48"/>
    <x v="49"/>
    <x v="2"/>
    <x v="0"/>
    <x v="0"/>
    <x v="0"/>
    <x v="11"/>
    <x v="1"/>
    <x v="7"/>
    <x v="2"/>
  </r>
  <r>
    <s v="TX501278"/>
    <x v="5"/>
    <x v="8"/>
    <n v="26.5"/>
    <n v="212"/>
    <x v="48"/>
    <x v="46"/>
    <x v="0"/>
    <x v="3"/>
    <x v="2"/>
    <x v="0"/>
    <x v="11"/>
    <x v="3"/>
    <x v="7"/>
    <x v="0"/>
  </r>
  <r>
    <s v="TX501279"/>
    <x v="2"/>
    <x v="1"/>
    <n v="220.3"/>
    <n v="440.6"/>
    <x v="48"/>
    <x v="46"/>
    <x v="2"/>
    <x v="1"/>
    <x v="4"/>
    <x v="0"/>
    <x v="53"/>
    <x v="3"/>
    <x v="7"/>
    <x v="2"/>
  </r>
  <r>
    <s v="TX501280"/>
    <x v="8"/>
    <x v="2"/>
    <n v="45.7"/>
    <n v="137.10000000000002"/>
    <x v="48"/>
    <x v="46"/>
    <x v="2"/>
    <x v="4"/>
    <x v="0"/>
    <x v="0"/>
    <x v="30"/>
    <x v="3"/>
    <x v="7"/>
    <x v="2"/>
  </r>
  <r>
    <s v="TX501281"/>
    <x v="5"/>
    <x v="9"/>
    <n v="47.1"/>
    <n v="235.5"/>
    <x v="48"/>
    <x v="56"/>
    <x v="2"/>
    <x v="3"/>
    <x v="0"/>
    <x v="0"/>
    <x v="13"/>
    <x v="5"/>
    <x v="7"/>
    <x v="2"/>
  </r>
  <r>
    <s v="TX501282"/>
    <x v="1"/>
    <x v="9"/>
    <n v="81.7"/>
    <n v="408.5"/>
    <x v="48"/>
    <x v="46"/>
    <x v="2"/>
    <x v="0"/>
    <x v="2"/>
    <x v="0"/>
    <x v="21"/>
    <x v="3"/>
    <x v="7"/>
    <x v="2"/>
  </r>
  <r>
    <s v="TX501283"/>
    <x v="6"/>
    <x v="7"/>
    <n v="97.8"/>
    <n v="978"/>
    <x v="48"/>
    <x v="50"/>
    <x v="1"/>
    <x v="1"/>
    <x v="1"/>
    <x v="0"/>
    <x v="21"/>
    <x v="7"/>
    <x v="7"/>
    <x v="1"/>
  </r>
  <r>
    <s v="TX501284"/>
    <x v="6"/>
    <x v="2"/>
    <n v="42.4"/>
    <n v="127.19999999999999"/>
    <x v="48"/>
    <x v="46"/>
    <x v="2"/>
    <x v="0"/>
    <x v="2"/>
    <x v="0"/>
    <x v="54"/>
    <x v="3"/>
    <x v="7"/>
    <x v="2"/>
  </r>
  <r>
    <s v="TX501285"/>
    <x v="2"/>
    <x v="7"/>
    <n v="74.5"/>
    <n v="745"/>
    <x v="48"/>
    <x v="46"/>
    <x v="1"/>
    <x v="2"/>
    <x v="1"/>
    <x v="0"/>
    <x v="1"/>
    <x v="3"/>
    <x v="7"/>
    <x v="1"/>
  </r>
  <r>
    <s v="TX501286"/>
    <x v="17"/>
    <x v="13"/>
    <n v="47.4"/>
    <n v="284.39999999999998"/>
    <x v="48"/>
    <x v="46"/>
    <x v="1"/>
    <x v="1"/>
    <x v="0"/>
    <x v="0"/>
    <x v="1"/>
    <x v="3"/>
    <x v="7"/>
    <x v="1"/>
  </r>
  <r>
    <s v="TX501287"/>
    <x v="14"/>
    <x v="2"/>
    <n v="17.3"/>
    <n v="51.900000000000006"/>
    <x v="49"/>
    <x v="56"/>
    <x v="1"/>
    <x v="2"/>
    <x v="2"/>
    <x v="0"/>
    <x v="1"/>
    <x v="2"/>
    <x v="7"/>
    <x v="1"/>
  </r>
  <r>
    <s v="TX501288"/>
    <x v="12"/>
    <x v="12"/>
    <n v="77.900000000000006"/>
    <n v="311.60000000000002"/>
    <x v="49"/>
    <x v="49"/>
    <x v="1"/>
    <x v="1"/>
    <x v="0"/>
    <x v="0"/>
    <x v="2"/>
    <x v="3"/>
    <x v="7"/>
    <x v="1"/>
  </r>
  <r>
    <s v="TX501289"/>
    <x v="8"/>
    <x v="0"/>
    <n v="29.1"/>
    <n v="29.1"/>
    <x v="49"/>
    <x v="56"/>
    <x v="1"/>
    <x v="0"/>
    <x v="2"/>
    <x v="0"/>
    <x v="50"/>
    <x v="2"/>
    <x v="7"/>
    <x v="1"/>
  </r>
  <r>
    <s v="TX501290"/>
    <x v="8"/>
    <x v="0"/>
    <n v="49"/>
    <n v="49"/>
    <x v="49"/>
    <x v="49"/>
    <x v="1"/>
    <x v="1"/>
    <x v="0"/>
    <x v="0"/>
    <x v="3"/>
    <x v="3"/>
    <x v="7"/>
    <x v="1"/>
  </r>
  <r>
    <s v="TX501291"/>
    <x v="8"/>
    <x v="13"/>
    <n v="21.1"/>
    <n v="126.60000000000001"/>
    <x v="49"/>
    <x v="52"/>
    <x v="1"/>
    <x v="0"/>
    <x v="2"/>
    <x v="0"/>
    <x v="3"/>
    <x v="6"/>
    <x v="7"/>
    <x v="1"/>
  </r>
  <r>
    <s v="TX501292"/>
    <x v="4"/>
    <x v="10"/>
    <n v="36.9"/>
    <n v="701.1"/>
    <x v="49"/>
    <x v="46"/>
    <x v="2"/>
    <x v="0"/>
    <x v="0"/>
    <x v="0"/>
    <x v="3"/>
    <x v="7"/>
    <x v="7"/>
    <x v="2"/>
  </r>
  <r>
    <s v="TX501293"/>
    <x v="1"/>
    <x v="7"/>
    <n v="92.6"/>
    <n v="926"/>
    <x v="49"/>
    <x v="54"/>
    <x v="1"/>
    <x v="4"/>
    <x v="2"/>
    <x v="0"/>
    <x v="3"/>
    <x v="0"/>
    <x v="7"/>
    <x v="1"/>
  </r>
  <r>
    <s v="TX501294"/>
    <x v="10"/>
    <x v="1"/>
    <n v="38"/>
    <n v="76"/>
    <x v="49"/>
    <x v="49"/>
    <x v="1"/>
    <x v="1"/>
    <x v="1"/>
    <x v="0"/>
    <x v="3"/>
    <x v="3"/>
    <x v="7"/>
    <x v="1"/>
  </r>
  <r>
    <s v="TX501295"/>
    <x v="5"/>
    <x v="2"/>
    <n v="54.8"/>
    <n v="164.39999999999998"/>
    <x v="49"/>
    <x v="55"/>
    <x v="0"/>
    <x v="0"/>
    <x v="1"/>
    <x v="0"/>
    <x v="3"/>
    <x v="5"/>
    <x v="7"/>
    <x v="0"/>
  </r>
  <r>
    <s v="TX501296"/>
    <x v="10"/>
    <x v="4"/>
    <n v="56.8"/>
    <n v="681.59999999999991"/>
    <x v="49"/>
    <x v="47"/>
    <x v="1"/>
    <x v="1"/>
    <x v="0"/>
    <x v="0"/>
    <x v="3"/>
    <x v="1"/>
    <x v="7"/>
    <x v="1"/>
  </r>
  <r>
    <s v="TX501297"/>
    <x v="11"/>
    <x v="40"/>
    <n v="47.2"/>
    <n v="1557.6000000000001"/>
    <x v="49"/>
    <x v="56"/>
    <x v="2"/>
    <x v="1"/>
    <x v="0"/>
    <x v="0"/>
    <x v="3"/>
    <x v="2"/>
    <x v="7"/>
    <x v="2"/>
  </r>
  <r>
    <s v="TX501298"/>
    <x v="7"/>
    <x v="13"/>
    <n v="45.1"/>
    <n v="270.60000000000002"/>
    <x v="49"/>
    <x v="49"/>
    <x v="2"/>
    <x v="2"/>
    <x v="0"/>
    <x v="0"/>
    <x v="43"/>
    <x v="3"/>
    <x v="7"/>
    <x v="2"/>
  </r>
  <r>
    <s v="TX501299"/>
    <x v="4"/>
    <x v="4"/>
    <n v="25.2"/>
    <n v="302.39999999999998"/>
    <x v="49"/>
    <x v="54"/>
    <x v="2"/>
    <x v="2"/>
    <x v="0"/>
    <x v="0"/>
    <x v="16"/>
    <x v="0"/>
    <x v="7"/>
    <x v="2"/>
  </r>
  <r>
    <s v="TX501300"/>
    <x v="8"/>
    <x v="0"/>
    <n v="22"/>
    <n v="22"/>
    <x v="49"/>
    <x v="49"/>
    <x v="2"/>
    <x v="0"/>
    <x v="0"/>
    <x v="0"/>
    <x v="5"/>
    <x v="3"/>
    <x v="7"/>
    <x v="2"/>
  </r>
  <r>
    <s v="TX501301"/>
    <x v="6"/>
    <x v="1"/>
    <n v="42.2"/>
    <n v="84.4"/>
    <x v="49"/>
    <x v="49"/>
    <x v="2"/>
    <x v="1"/>
    <x v="1"/>
    <x v="0"/>
    <x v="23"/>
    <x v="3"/>
    <x v="7"/>
    <x v="2"/>
  </r>
  <r>
    <s v="TX501302"/>
    <x v="13"/>
    <x v="2"/>
    <n v="20.5"/>
    <n v="61.5"/>
    <x v="49"/>
    <x v="49"/>
    <x v="1"/>
    <x v="0"/>
    <x v="1"/>
    <x v="0"/>
    <x v="6"/>
    <x v="3"/>
    <x v="7"/>
    <x v="1"/>
  </r>
  <r>
    <s v="TX501303"/>
    <x v="2"/>
    <x v="0"/>
    <n v="190.4"/>
    <n v="190.4"/>
    <x v="49"/>
    <x v="54"/>
    <x v="1"/>
    <x v="1"/>
    <x v="4"/>
    <x v="0"/>
    <x v="6"/>
    <x v="0"/>
    <x v="7"/>
    <x v="1"/>
  </r>
  <r>
    <s v="TX501304"/>
    <x v="2"/>
    <x v="0"/>
    <n v="121.9"/>
    <n v="121.9"/>
    <x v="49"/>
    <x v="47"/>
    <x v="2"/>
    <x v="1"/>
    <x v="2"/>
    <x v="0"/>
    <x v="6"/>
    <x v="1"/>
    <x v="7"/>
    <x v="2"/>
  </r>
  <r>
    <s v="TX501305"/>
    <x v="2"/>
    <x v="13"/>
    <n v="149.19999999999999"/>
    <n v="895.19999999999993"/>
    <x v="49"/>
    <x v="49"/>
    <x v="2"/>
    <x v="2"/>
    <x v="2"/>
    <x v="0"/>
    <x v="7"/>
    <x v="3"/>
    <x v="7"/>
    <x v="2"/>
  </r>
  <r>
    <s v="TX501306"/>
    <x v="2"/>
    <x v="0"/>
    <n v="54.1"/>
    <n v="54.1"/>
    <x v="49"/>
    <x v="58"/>
    <x v="2"/>
    <x v="2"/>
    <x v="2"/>
    <x v="0"/>
    <x v="7"/>
    <x v="8"/>
    <x v="7"/>
    <x v="2"/>
  </r>
  <r>
    <s v="TX501307"/>
    <x v="5"/>
    <x v="1"/>
    <n v="27.4"/>
    <n v="54.8"/>
    <x v="49"/>
    <x v="47"/>
    <x v="1"/>
    <x v="1"/>
    <x v="0"/>
    <x v="0"/>
    <x v="8"/>
    <x v="1"/>
    <x v="7"/>
    <x v="1"/>
  </r>
  <r>
    <s v="TX501308"/>
    <x v="0"/>
    <x v="15"/>
    <n v="30.4"/>
    <n v="395.2"/>
    <x v="49"/>
    <x v="49"/>
    <x v="2"/>
    <x v="0"/>
    <x v="2"/>
    <x v="0"/>
    <x v="8"/>
    <x v="3"/>
    <x v="7"/>
    <x v="2"/>
  </r>
  <r>
    <s v="TX501309"/>
    <x v="12"/>
    <x v="2"/>
    <n v="46.2"/>
    <n v="138.60000000000002"/>
    <x v="49"/>
    <x v="47"/>
    <x v="1"/>
    <x v="2"/>
    <x v="1"/>
    <x v="0"/>
    <x v="17"/>
    <x v="1"/>
    <x v="7"/>
    <x v="1"/>
  </r>
  <r>
    <s v="TX501310"/>
    <x v="7"/>
    <x v="8"/>
    <n v="78.599999999999994"/>
    <n v="628.79999999999995"/>
    <x v="49"/>
    <x v="55"/>
    <x v="1"/>
    <x v="3"/>
    <x v="0"/>
    <x v="0"/>
    <x v="17"/>
    <x v="5"/>
    <x v="7"/>
    <x v="1"/>
  </r>
  <r>
    <s v="TX501311"/>
    <x v="17"/>
    <x v="7"/>
    <n v="25.9"/>
    <n v="259"/>
    <x v="49"/>
    <x v="51"/>
    <x v="1"/>
    <x v="4"/>
    <x v="0"/>
    <x v="0"/>
    <x v="9"/>
    <x v="4"/>
    <x v="7"/>
    <x v="1"/>
  </r>
  <r>
    <s v="TX501312"/>
    <x v="6"/>
    <x v="0"/>
    <n v="134.80000000000001"/>
    <n v="134.80000000000001"/>
    <x v="49"/>
    <x v="47"/>
    <x v="1"/>
    <x v="2"/>
    <x v="2"/>
    <x v="0"/>
    <x v="9"/>
    <x v="1"/>
    <x v="7"/>
    <x v="1"/>
  </r>
  <r>
    <s v="TX501313"/>
    <x v="15"/>
    <x v="9"/>
    <n v="43.1"/>
    <n v="215.5"/>
    <x v="49"/>
    <x v="47"/>
    <x v="2"/>
    <x v="0"/>
    <x v="0"/>
    <x v="0"/>
    <x v="11"/>
    <x v="1"/>
    <x v="7"/>
    <x v="2"/>
  </r>
  <r>
    <s v="TX501314"/>
    <x v="2"/>
    <x v="1"/>
    <n v="215.6"/>
    <n v="431.2"/>
    <x v="49"/>
    <x v="49"/>
    <x v="2"/>
    <x v="2"/>
    <x v="0"/>
    <x v="0"/>
    <x v="18"/>
    <x v="3"/>
    <x v="7"/>
    <x v="2"/>
  </r>
  <r>
    <s v="TX501315"/>
    <x v="6"/>
    <x v="1"/>
    <n v="80.7"/>
    <n v="161.4"/>
    <x v="49"/>
    <x v="56"/>
    <x v="2"/>
    <x v="3"/>
    <x v="0"/>
    <x v="0"/>
    <x v="18"/>
    <x v="2"/>
    <x v="7"/>
    <x v="2"/>
  </r>
  <r>
    <s v="TX501316"/>
    <x v="10"/>
    <x v="3"/>
    <n v="20.6"/>
    <n v="144.20000000000002"/>
    <x v="49"/>
    <x v="54"/>
    <x v="0"/>
    <x v="2"/>
    <x v="1"/>
    <x v="0"/>
    <x v="19"/>
    <x v="0"/>
    <x v="7"/>
    <x v="0"/>
  </r>
  <r>
    <s v="TX501317"/>
    <x v="12"/>
    <x v="2"/>
    <n v="37.1"/>
    <n v="111.30000000000001"/>
    <x v="49"/>
    <x v="49"/>
    <x v="2"/>
    <x v="0"/>
    <x v="0"/>
    <x v="0"/>
    <x v="52"/>
    <x v="3"/>
    <x v="7"/>
    <x v="2"/>
  </r>
  <r>
    <s v="TX501318"/>
    <x v="12"/>
    <x v="0"/>
    <n v="104.8"/>
    <n v="104.8"/>
    <x v="50"/>
    <x v="56"/>
    <x v="2"/>
    <x v="0"/>
    <x v="0"/>
    <x v="0"/>
    <x v="13"/>
    <x v="1"/>
    <x v="7"/>
    <x v="2"/>
  </r>
  <r>
    <s v="TX501319"/>
    <x v="8"/>
    <x v="1"/>
    <n v="59"/>
    <n v="118"/>
    <x v="50"/>
    <x v="47"/>
    <x v="1"/>
    <x v="1"/>
    <x v="0"/>
    <x v="0"/>
    <x v="21"/>
    <x v="3"/>
    <x v="7"/>
    <x v="1"/>
  </r>
  <r>
    <s v="TX501320"/>
    <x v="8"/>
    <x v="1"/>
    <n v="32.299999999999997"/>
    <n v="64.599999999999994"/>
    <x v="50"/>
    <x v="47"/>
    <x v="1"/>
    <x v="0"/>
    <x v="2"/>
    <x v="0"/>
    <x v="21"/>
    <x v="3"/>
    <x v="7"/>
    <x v="1"/>
  </r>
  <r>
    <s v="TX501321"/>
    <x v="8"/>
    <x v="12"/>
    <n v="28.9"/>
    <n v="115.6"/>
    <x v="50"/>
    <x v="53"/>
    <x v="1"/>
    <x v="0"/>
    <x v="0"/>
    <x v="0"/>
    <x v="1"/>
    <x v="6"/>
    <x v="7"/>
    <x v="1"/>
  </r>
  <r>
    <s v="TX501322"/>
    <x v="0"/>
    <x v="1"/>
    <n v="29.6"/>
    <n v="59.2"/>
    <x v="50"/>
    <x v="56"/>
    <x v="1"/>
    <x v="0"/>
    <x v="0"/>
    <x v="0"/>
    <x v="1"/>
    <x v="1"/>
    <x v="7"/>
    <x v="1"/>
  </r>
  <r>
    <s v="TX501323"/>
    <x v="0"/>
    <x v="9"/>
    <n v="29.4"/>
    <n v="147"/>
    <x v="50"/>
    <x v="55"/>
    <x v="2"/>
    <x v="0"/>
    <x v="0"/>
    <x v="0"/>
    <x v="1"/>
    <x v="2"/>
    <x v="7"/>
    <x v="2"/>
  </r>
  <r>
    <s v="TX501324"/>
    <x v="1"/>
    <x v="1"/>
    <n v="40.6"/>
    <n v="81.2"/>
    <x v="50"/>
    <x v="47"/>
    <x v="1"/>
    <x v="0"/>
    <x v="4"/>
    <x v="0"/>
    <x v="2"/>
    <x v="3"/>
    <x v="7"/>
    <x v="1"/>
  </r>
  <r>
    <s v="TX501325"/>
    <x v="0"/>
    <x v="2"/>
    <n v="32.5"/>
    <n v="97.5"/>
    <x v="50"/>
    <x v="47"/>
    <x v="1"/>
    <x v="3"/>
    <x v="2"/>
    <x v="0"/>
    <x v="22"/>
    <x v="3"/>
    <x v="7"/>
    <x v="1"/>
  </r>
  <r>
    <s v="TX501326"/>
    <x v="15"/>
    <x v="0"/>
    <n v="26.2"/>
    <n v="26.2"/>
    <x v="50"/>
    <x v="56"/>
    <x v="1"/>
    <x v="2"/>
    <x v="0"/>
    <x v="0"/>
    <x v="55"/>
    <x v="1"/>
    <x v="7"/>
    <x v="1"/>
  </r>
  <r>
    <s v="TX501327"/>
    <x v="10"/>
    <x v="17"/>
    <n v="44"/>
    <n v="1320"/>
    <x v="50"/>
    <x v="52"/>
    <x v="1"/>
    <x v="4"/>
    <x v="0"/>
    <x v="0"/>
    <x v="3"/>
    <x v="4"/>
    <x v="7"/>
    <x v="1"/>
  </r>
  <r>
    <s v="TX501328"/>
    <x v="7"/>
    <x v="12"/>
    <n v="65.599999999999994"/>
    <n v="262.39999999999998"/>
    <x v="50"/>
    <x v="47"/>
    <x v="2"/>
    <x v="1"/>
    <x v="1"/>
    <x v="0"/>
    <x v="3"/>
    <x v="3"/>
    <x v="7"/>
    <x v="2"/>
  </r>
  <r>
    <s v="TX501329"/>
    <x v="5"/>
    <x v="4"/>
    <n v="32.6"/>
    <n v="391.20000000000005"/>
    <x v="50"/>
    <x v="47"/>
    <x v="1"/>
    <x v="4"/>
    <x v="0"/>
    <x v="0"/>
    <x v="3"/>
    <x v="3"/>
    <x v="7"/>
    <x v="1"/>
  </r>
  <r>
    <s v="TX501330"/>
    <x v="16"/>
    <x v="1"/>
    <n v="88.7"/>
    <n v="177.4"/>
    <x v="50"/>
    <x v="47"/>
    <x v="0"/>
    <x v="3"/>
    <x v="2"/>
    <x v="0"/>
    <x v="3"/>
    <x v="3"/>
    <x v="7"/>
    <x v="0"/>
  </r>
  <r>
    <s v="TX501331"/>
    <x v="4"/>
    <x v="1"/>
    <n v="21.3"/>
    <n v="42.6"/>
    <x v="50"/>
    <x v="47"/>
    <x v="1"/>
    <x v="0"/>
    <x v="0"/>
    <x v="0"/>
    <x v="3"/>
    <x v="3"/>
    <x v="7"/>
    <x v="1"/>
  </r>
  <r>
    <s v="TX501332"/>
    <x v="4"/>
    <x v="13"/>
    <n v="50.6"/>
    <n v="303.60000000000002"/>
    <x v="50"/>
    <x v="54"/>
    <x v="2"/>
    <x v="2"/>
    <x v="0"/>
    <x v="0"/>
    <x v="3"/>
    <x v="5"/>
    <x v="7"/>
    <x v="2"/>
  </r>
  <r>
    <s v="TX501333"/>
    <x v="9"/>
    <x v="38"/>
    <n v="86.9"/>
    <n v="1824.9"/>
    <x v="50"/>
    <x v="55"/>
    <x v="2"/>
    <x v="0"/>
    <x v="1"/>
    <x v="0"/>
    <x v="3"/>
    <x v="2"/>
    <x v="7"/>
    <x v="2"/>
  </r>
  <r>
    <s v="TX501334"/>
    <x v="11"/>
    <x v="2"/>
    <n v="31.8"/>
    <n v="95.4"/>
    <x v="50"/>
    <x v="56"/>
    <x v="1"/>
    <x v="0"/>
    <x v="2"/>
    <x v="0"/>
    <x v="3"/>
    <x v="1"/>
    <x v="7"/>
    <x v="1"/>
  </r>
  <r>
    <s v="TX501335"/>
    <x v="8"/>
    <x v="0"/>
    <n v="19"/>
    <n v="19"/>
    <x v="50"/>
    <x v="47"/>
    <x v="2"/>
    <x v="0"/>
    <x v="2"/>
    <x v="0"/>
    <x v="3"/>
    <x v="3"/>
    <x v="7"/>
    <x v="2"/>
  </r>
  <r>
    <s v="TX501336"/>
    <x v="5"/>
    <x v="0"/>
    <n v="54.5"/>
    <n v="54.5"/>
    <x v="50"/>
    <x v="56"/>
    <x v="1"/>
    <x v="0"/>
    <x v="0"/>
    <x v="0"/>
    <x v="3"/>
    <x v="1"/>
    <x v="7"/>
    <x v="1"/>
  </r>
  <r>
    <s v="TX501337"/>
    <x v="9"/>
    <x v="9"/>
    <n v="68.900000000000006"/>
    <n v="344.5"/>
    <x v="50"/>
    <x v="56"/>
    <x v="1"/>
    <x v="4"/>
    <x v="1"/>
    <x v="0"/>
    <x v="3"/>
    <x v="1"/>
    <x v="7"/>
    <x v="1"/>
  </r>
  <r>
    <s v="TX501338"/>
    <x v="6"/>
    <x v="2"/>
    <n v="84"/>
    <n v="252"/>
    <x v="50"/>
    <x v="47"/>
    <x v="1"/>
    <x v="1"/>
    <x v="4"/>
    <x v="0"/>
    <x v="16"/>
    <x v="3"/>
    <x v="7"/>
    <x v="1"/>
  </r>
  <r>
    <s v="TX501339"/>
    <x v="15"/>
    <x v="8"/>
    <n v="23.1"/>
    <n v="184.8"/>
    <x v="50"/>
    <x v="51"/>
    <x v="1"/>
    <x v="0"/>
    <x v="2"/>
    <x v="0"/>
    <x v="23"/>
    <x v="0"/>
    <x v="7"/>
    <x v="1"/>
  </r>
  <r>
    <s v="TX501340"/>
    <x v="7"/>
    <x v="1"/>
    <n v="62.4"/>
    <n v="124.8"/>
    <x v="50"/>
    <x v="47"/>
    <x v="2"/>
    <x v="0"/>
    <x v="1"/>
    <x v="0"/>
    <x v="6"/>
    <x v="3"/>
    <x v="7"/>
    <x v="2"/>
  </r>
  <r>
    <s v="TX501341"/>
    <x v="6"/>
    <x v="4"/>
    <n v="40.700000000000003"/>
    <n v="488.40000000000003"/>
    <x v="50"/>
    <x v="56"/>
    <x v="1"/>
    <x v="1"/>
    <x v="2"/>
    <x v="0"/>
    <x v="6"/>
    <x v="1"/>
    <x v="7"/>
    <x v="1"/>
  </r>
  <r>
    <s v="TX501342"/>
    <x v="6"/>
    <x v="0"/>
    <n v="49.6"/>
    <n v="49.6"/>
    <x v="50"/>
    <x v="55"/>
    <x v="1"/>
    <x v="2"/>
    <x v="0"/>
    <x v="0"/>
    <x v="7"/>
    <x v="2"/>
    <x v="7"/>
    <x v="1"/>
  </r>
  <r>
    <s v="TX501343"/>
    <x v="7"/>
    <x v="41"/>
    <n v="66.599999999999994"/>
    <n v="2996.9999999999995"/>
    <x v="50"/>
    <x v="55"/>
    <x v="1"/>
    <x v="2"/>
    <x v="0"/>
    <x v="0"/>
    <x v="8"/>
    <x v="2"/>
    <x v="7"/>
    <x v="1"/>
  </r>
  <r>
    <s v="TX501344"/>
    <x v="8"/>
    <x v="2"/>
    <n v="26.4"/>
    <n v="79.199999999999989"/>
    <x v="50"/>
    <x v="47"/>
    <x v="2"/>
    <x v="1"/>
    <x v="1"/>
    <x v="0"/>
    <x v="8"/>
    <x v="3"/>
    <x v="7"/>
    <x v="2"/>
  </r>
  <r>
    <s v="TX501345"/>
    <x v="0"/>
    <x v="1"/>
    <n v="17.2"/>
    <n v="34.4"/>
    <x v="50"/>
    <x v="55"/>
    <x v="1"/>
    <x v="2"/>
    <x v="1"/>
    <x v="0"/>
    <x v="8"/>
    <x v="2"/>
    <x v="7"/>
    <x v="1"/>
  </r>
  <r>
    <s v="TX501346"/>
    <x v="5"/>
    <x v="8"/>
    <n v="58.1"/>
    <n v="464.8"/>
    <x v="50"/>
    <x v="55"/>
    <x v="2"/>
    <x v="4"/>
    <x v="0"/>
    <x v="0"/>
    <x v="8"/>
    <x v="2"/>
    <x v="7"/>
    <x v="2"/>
  </r>
  <r>
    <s v="TX501347"/>
    <x v="15"/>
    <x v="12"/>
    <n v="31.5"/>
    <n v="126"/>
    <x v="50"/>
    <x v="55"/>
    <x v="2"/>
    <x v="4"/>
    <x v="4"/>
    <x v="0"/>
    <x v="8"/>
    <x v="2"/>
    <x v="7"/>
    <x v="2"/>
  </r>
  <r>
    <s v="TX501348"/>
    <x v="0"/>
    <x v="0"/>
    <n v="27.1"/>
    <n v="27.1"/>
    <x v="50"/>
    <x v="56"/>
    <x v="2"/>
    <x v="0"/>
    <x v="1"/>
    <x v="0"/>
    <x v="17"/>
    <x v="1"/>
    <x v="7"/>
    <x v="2"/>
  </r>
  <r>
    <s v="TX501349"/>
    <x v="18"/>
    <x v="12"/>
    <n v="28.5"/>
    <n v="114"/>
    <x v="50"/>
    <x v="56"/>
    <x v="1"/>
    <x v="1"/>
    <x v="2"/>
    <x v="0"/>
    <x v="9"/>
    <x v="1"/>
    <x v="7"/>
    <x v="1"/>
  </r>
  <r>
    <s v="TX501350"/>
    <x v="10"/>
    <x v="0"/>
    <n v="40.5"/>
    <n v="40.5"/>
    <x v="51"/>
    <x v="55"/>
    <x v="3"/>
    <x v="2"/>
    <x v="0"/>
    <x v="0"/>
    <x v="9"/>
    <x v="1"/>
    <x v="7"/>
    <x v="3"/>
  </r>
  <r>
    <s v="TX501351"/>
    <x v="2"/>
    <x v="2"/>
    <n v="77.900000000000006"/>
    <n v="233.70000000000002"/>
    <x v="51"/>
    <x v="51"/>
    <x v="2"/>
    <x v="1"/>
    <x v="2"/>
    <x v="0"/>
    <x v="19"/>
    <x v="5"/>
    <x v="7"/>
    <x v="2"/>
  </r>
  <r>
    <s v="TX501352"/>
    <x v="18"/>
    <x v="12"/>
    <n v="37.1"/>
    <n v="148.4"/>
    <x v="51"/>
    <x v="55"/>
    <x v="1"/>
    <x v="4"/>
    <x v="2"/>
    <x v="0"/>
    <x v="19"/>
    <x v="1"/>
    <x v="7"/>
    <x v="1"/>
  </r>
  <r>
    <s v="TX501353"/>
    <x v="16"/>
    <x v="2"/>
    <n v="51.6"/>
    <n v="154.80000000000001"/>
    <x v="51"/>
    <x v="59"/>
    <x v="2"/>
    <x v="0"/>
    <x v="4"/>
    <x v="0"/>
    <x v="19"/>
    <x v="9"/>
    <x v="7"/>
    <x v="2"/>
  </r>
  <r>
    <s v="TX501354"/>
    <x v="7"/>
    <x v="2"/>
    <n v="98"/>
    <n v="294"/>
    <x v="51"/>
    <x v="56"/>
    <x v="1"/>
    <x v="1"/>
    <x v="1"/>
    <x v="0"/>
    <x v="19"/>
    <x v="3"/>
    <x v="7"/>
    <x v="1"/>
  </r>
  <r>
    <s v="TX501355"/>
    <x v="6"/>
    <x v="3"/>
    <n v="41.4"/>
    <n v="289.8"/>
    <x v="51"/>
    <x v="56"/>
    <x v="1"/>
    <x v="1"/>
    <x v="0"/>
    <x v="0"/>
    <x v="20"/>
    <x v="3"/>
    <x v="7"/>
    <x v="1"/>
  </r>
  <r>
    <s v="TX501356"/>
    <x v="11"/>
    <x v="8"/>
    <n v="34"/>
    <n v="272"/>
    <x v="51"/>
    <x v="52"/>
    <x v="2"/>
    <x v="0"/>
    <x v="2"/>
    <x v="0"/>
    <x v="52"/>
    <x v="0"/>
    <x v="7"/>
    <x v="2"/>
  </r>
  <r>
    <s v="TX501357"/>
    <x v="6"/>
    <x v="0"/>
    <n v="66.3"/>
    <n v="66.3"/>
    <x v="51"/>
    <x v="56"/>
    <x v="2"/>
    <x v="1"/>
    <x v="0"/>
    <x v="0"/>
    <x v="13"/>
    <x v="3"/>
    <x v="7"/>
    <x v="2"/>
  </r>
  <r>
    <s v="TX501358"/>
    <x v="7"/>
    <x v="0"/>
    <n v="33.5"/>
    <n v="33.5"/>
    <x v="51"/>
    <x v="51"/>
    <x v="1"/>
    <x v="2"/>
    <x v="0"/>
    <x v="0"/>
    <x v="13"/>
    <x v="5"/>
    <x v="7"/>
    <x v="1"/>
  </r>
  <r>
    <s v="TX501359"/>
    <x v="12"/>
    <x v="1"/>
    <n v="70.8"/>
    <n v="141.6"/>
    <x v="51"/>
    <x v="56"/>
    <x v="0"/>
    <x v="0"/>
    <x v="0"/>
    <x v="0"/>
    <x v="28"/>
    <x v="3"/>
    <x v="7"/>
    <x v="0"/>
  </r>
  <r>
    <s v="TX501360"/>
    <x v="6"/>
    <x v="1"/>
    <n v="127.6"/>
    <n v="255.2"/>
    <x v="51"/>
    <x v="56"/>
    <x v="1"/>
    <x v="0"/>
    <x v="0"/>
    <x v="0"/>
    <x v="21"/>
    <x v="3"/>
    <x v="7"/>
    <x v="1"/>
  </r>
  <r>
    <s v="TX501361"/>
    <x v="6"/>
    <x v="2"/>
    <n v="95.9"/>
    <n v="287.70000000000005"/>
    <x v="51"/>
    <x v="56"/>
    <x v="2"/>
    <x v="1"/>
    <x v="1"/>
    <x v="0"/>
    <x v="21"/>
    <x v="3"/>
    <x v="7"/>
    <x v="2"/>
  </r>
  <r>
    <s v="TX501362"/>
    <x v="2"/>
    <x v="1"/>
    <n v="78.099999999999994"/>
    <n v="156.19999999999999"/>
    <x v="51"/>
    <x v="56"/>
    <x v="1"/>
    <x v="0"/>
    <x v="0"/>
    <x v="0"/>
    <x v="1"/>
    <x v="3"/>
    <x v="7"/>
    <x v="1"/>
  </r>
  <r>
    <s v="TX501363"/>
    <x v="13"/>
    <x v="1"/>
    <n v="43.2"/>
    <n v="86.4"/>
    <x v="51"/>
    <x v="56"/>
    <x v="0"/>
    <x v="1"/>
    <x v="1"/>
    <x v="0"/>
    <x v="1"/>
    <x v="3"/>
    <x v="7"/>
    <x v="0"/>
  </r>
  <r>
    <s v="TX501364"/>
    <x v="8"/>
    <x v="12"/>
    <n v="28.4"/>
    <n v="113.6"/>
    <x v="51"/>
    <x v="53"/>
    <x v="1"/>
    <x v="2"/>
    <x v="0"/>
    <x v="0"/>
    <x v="3"/>
    <x v="4"/>
    <x v="7"/>
    <x v="1"/>
  </r>
  <r>
    <s v="TX501365"/>
    <x v="2"/>
    <x v="1"/>
    <n v="81.7"/>
    <n v="163.4"/>
    <x v="51"/>
    <x v="47"/>
    <x v="1"/>
    <x v="0"/>
    <x v="0"/>
    <x v="0"/>
    <x v="3"/>
    <x v="7"/>
    <x v="7"/>
    <x v="1"/>
  </r>
  <r>
    <s v="TX501366"/>
    <x v="18"/>
    <x v="1"/>
    <n v="56.7"/>
    <n v="113.4"/>
    <x v="51"/>
    <x v="55"/>
    <x v="0"/>
    <x v="0"/>
    <x v="2"/>
    <x v="0"/>
    <x v="3"/>
    <x v="1"/>
    <x v="7"/>
    <x v="0"/>
  </r>
  <r>
    <s v="TX501367"/>
    <x v="3"/>
    <x v="12"/>
    <n v="66.5"/>
    <n v="266"/>
    <x v="51"/>
    <x v="47"/>
    <x v="2"/>
    <x v="0"/>
    <x v="2"/>
    <x v="0"/>
    <x v="3"/>
    <x v="7"/>
    <x v="7"/>
    <x v="2"/>
  </r>
  <r>
    <s v="TX501368"/>
    <x v="1"/>
    <x v="1"/>
    <n v="105.3"/>
    <n v="210.6"/>
    <x v="51"/>
    <x v="51"/>
    <x v="1"/>
    <x v="0"/>
    <x v="1"/>
    <x v="0"/>
    <x v="3"/>
    <x v="5"/>
    <x v="7"/>
    <x v="1"/>
  </r>
  <r>
    <s v="TX501369"/>
    <x v="10"/>
    <x v="9"/>
    <n v="33.799999999999997"/>
    <n v="169"/>
    <x v="51"/>
    <x v="52"/>
    <x v="1"/>
    <x v="0"/>
    <x v="0"/>
    <x v="0"/>
    <x v="3"/>
    <x v="0"/>
    <x v="7"/>
    <x v="1"/>
  </r>
  <r>
    <s v="TX501370"/>
    <x v="6"/>
    <x v="2"/>
    <n v="63.4"/>
    <n v="190.2"/>
    <x v="51"/>
    <x v="52"/>
    <x v="1"/>
    <x v="3"/>
    <x v="1"/>
    <x v="0"/>
    <x v="24"/>
    <x v="0"/>
    <x v="7"/>
    <x v="1"/>
  </r>
  <r>
    <s v="TX501371"/>
    <x v="6"/>
    <x v="2"/>
    <n v="49"/>
    <n v="147"/>
    <x v="51"/>
    <x v="51"/>
    <x v="1"/>
    <x v="3"/>
    <x v="0"/>
    <x v="0"/>
    <x v="49"/>
    <x v="5"/>
    <x v="7"/>
    <x v="1"/>
  </r>
  <r>
    <s v="TX501372"/>
    <x v="1"/>
    <x v="1"/>
    <n v="40"/>
    <n v="80"/>
    <x v="51"/>
    <x v="56"/>
    <x v="2"/>
    <x v="4"/>
    <x v="1"/>
    <x v="0"/>
    <x v="23"/>
    <x v="3"/>
    <x v="7"/>
    <x v="2"/>
  </r>
  <r>
    <s v="TX501373"/>
    <x v="6"/>
    <x v="12"/>
    <n v="86.3"/>
    <n v="345.2"/>
    <x v="51"/>
    <x v="56"/>
    <x v="3"/>
    <x v="0"/>
    <x v="0"/>
    <x v="0"/>
    <x v="6"/>
    <x v="3"/>
    <x v="7"/>
    <x v="3"/>
  </r>
  <r>
    <s v="TX501374"/>
    <x v="6"/>
    <x v="0"/>
    <n v="51.6"/>
    <n v="51.6"/>
    <x v="51"/>
    <x v="55"/>
    <x v="2"/>
    <x v="2"/>
    <x v="2"/>
    <x v="0"/>
    <x v="6"/>
    <x v="1"/>
    <x v="7"/>
    <x v="2"/>
  </r>
  <r>
    <s v="TX501375"/>
    <x v="10"/>
    <x v="2"/>
    <n v="26.7"/>
    <n v="80.099999999999994"/>
    <x v="51"/>
    <x v="52"/>
    <x v="2"/>
    <x v="2"/>
    <x v="1"/>
    <x v="0"/>
    <x v="6"/>
    <x v="0"/>
    <x v="7"/>
    <x v="2"/>
  </r>
  <r>
    <s v="TX501376"/>
    <x v="18"/>
    <x v="1"/>
    <n v="68.099999999999994"/>
    <n v="136.19999999999999"/>
    <x v="51"/>
    <x v="56"/>
    <x v="1"/>
    <x v="0"/>
    <x v="1"/>
    <x v="0"/>
    <x v="6"/>
    <x v="3"/>
    <x v="7"/>
    <x v="1"/>
  </r>
  <r>
    <s v="TX501377"/>
    <x v="1"/>
    <x v="0"/>
    <n v="81.7"/>
    <n v="81.7"/>
    <x v="51"/>
    <x v="56"/>
    <x v="1"/>
    <x v="0"/>
    <x v="0"/>
    <x v="0"/>
    <x v="7"/>
    <x v="3"/>
    <x v="7"/>
    <x v="1"/>
  </r>
  <r>
    <s v="TX501378"/>
    <x v="18"/>
    <x v="7"/>
    <n v="25.1"/>
    <n v="251"/>
    <x v="51"/>
    <x v="54"/>
    <x v="1"/>
    <x v="3"/>
    <x v="1"/>
    <x v="0"/>
    <x v="8"/>
    <x v="2"/>
    <x v="7"/>
    <x v="1"/>
  </r>
  <r>
    <s v="TX501379"/>
    <x v="8"/>
    <x v="0"/>
    <n v="20.2"/>
    <n v="20.2"/>
    <x v="51"/>
    <x v="51"/>
    <x v="2"/>
    <x v="0"/>
    <x v="0"/>
    <x v="0"/>
    <x v="8"/>
    <x v="5"/>
    <x v="7"/>
    <x v="2"/>
  </r>
  <r>
    <s v="TX501380"/>
    <x v="8"/>
    <x v="2"/>
    <n v="15.4"/>
    <n v="46.2"/>
    <x v="51"/>
    <x v="56"/>
    <x v="1"/>
    <x v="1"/>
    <x v="2"/>
    <x v="0"/>
    <x v="8"/>
    <x v="3"/>
    <x v="7"/>
    <x v="1"/>
  </r>
  <r>
    <s v="TX501381"/>
    <x v="10"/>
    <x v="0"/>
    <n v="59.2"/>
    <n v="59.2"/>
    <x v="51"/>
    <x v="56"/>
    <x v="1"/>
    <x v="2"/>
    <x v="2"/>
    <x v="0"/>
    <x v="17"/>
    <x v="3"/>
    <x v="7"/>
    <x v="1"/>
  </r>
  <r>
    <s v="TX501382"/>
    <x v="0"/>
    <x v="0"/>
    <n v="46.7"/>
    <n v="46.7"/>
    <x v="51"/>
    <x v="52"/>
    <x v="1"/>
    <x v="0"/>
    <x v="0"/>
    <x v="0"/>
    <x v="17"/>
    <x v="0"/>
    <x v="7"/>
    <x v="1"/>
  </r>
  <r>
    <s v="TX501383"/>
    <x v="6"/>
    <x v="20"/>
    <n v="41.6"/>
    <n v="624"/>
    <x v="51"/>
    <x v="55"/>
    <x v="1"/>
    <x v="1"/>
    <x v="0"/>
    <x v="0"/>
    <x v="26"/>
    <x v="1"/>
    <x v="7"/>
    <x v="1"/>
  </r>
  <r>
    <s v="TX501384"/>
    <x v="8"/>
    <x v="1"/>
    <n v="19.2"/>
    <n v="38.4"/>
    <x v="51"/>
    <x v="54"/>
    <x v="1"/>
    <x v="4"/>
    <x v="2"/>
    <x v="0"/>
    <x v="9"/>
    <x v="2"/>
    <x v="7"/>
    <x v="1"/>
  </r>
  <r>
    <s v="TX501385"/>
    <x v="17"/>
    <x v="3"/>
    <n v="41.8"/>
    <n v="292.59999999999997"/>
    <x v="51"/>
    <x v="55"/>
    <x v="2"/>
    <x v="2"/>
    <x v="0"/>
    <x v="0"/>
    <x v="11"/>
    <x v="1"/>
    <x v="7"/>
    <x v="2"/>
  </r>
  <r>
    <s v="TX501386"/>
    <x v="8"/>
    <x v="13"/>
    <n v="37.4"/>
    <n v="224.39999999999998"/>
    <x v="51"/>
    <x v="55"/>
    <x v="1"/>
    <x v="0"/>
    <x v="2"/>
    <x v="0"/>
    <x v="11"/>
    <x v="1"/>
    <x v="7"/>
    <x v="1"/>
  </r>
  <r>
    <s v="TX501387"/>
    <x v="10"/>
    <x v="2"/>
    <n v="60.2"/>
    <n v="180.60000000000002"/>
    <x v="51"/>
    <x v="54"/>
    <x v="1"/>
    <x v="4"/>
    <x v="1"/>
    <x v="0"/>
    <x v="38"/>
    <x v="2"/>
    <x v="7"/>
    <x v="1"/>
  </r>
  <r>
    <s v="TX501388"/>
    <x v="9"/>
    <x v="1"/>
    <n v="91.5"/>
    <n v="183"/>
    <x v="52"/>
    <x v="55"/>
    <x v="1"/>
    <x v="0"/>
    <x v="0"/>
    <x v="0"/>
    <x v="13"/>
    <x v="3"/>
    <x v="7"/>
    <x v="1"/>
  </r>
  <r>
    <s v="TX501389"/>
    <x v="3"/>
    <x v="9"/>
    <n v="55.7"/>
    <n v="278.5"/>
    <x v="52"/>
    <x v="54"/>
    <x v="0"/>
    <x v="1"/>
    <x v="2"/>
    <x v="0"/>
    <x v="21"/>
    <x v="1"/>
    <x v="7"/>
    <x v="0"/>
  </r>
  <r>
    <s v="TX501390"/>
    <x v="7"/>
    <x v="1"/>
    <n v="76.7"/>
    <n v="153.4"/>
    <x v="52"/>
    <x v="54"/>
    <x v="1"/>
    <x v="0"/>
    <x v="1"/>
    <x v="0"/>
    <x v="21"/>
    <x v="1"/>
    <x v="7"/>
    <x v="1"/>
  </r>
  <r>
    <s v="TX501391"/>
    <x v="8"/>
    <x v="38"/>
    <n v="28.2"/>
    <n v="592.19999999999993"/>
    <x v="52"/>
    <x v="53"/>
    <x v="1"/>
    <x v="2"/>
    <x v="0"/>
    <x v="0"/>
    <x v="1"/>
    <x v="0"/>
    <x v="7"/>
    <x v="1"/>
  </r>
  <r>
    <s v="TX501392"/>
    <x v="7"/>
    <x v="9"/>
    <n v="93.2"/>
    <n v="466"/>
    <x v="52"/>
    <x v="54"/>
    <x v="2"/>
    <x v="4"/>
    <x v="2"/>
    <x v="0"/>
    <x v="1"/>
    <x v="1"/>
    <x v="7"/>
    <x v="2"/>
  </r>
  <r>
    <s v="TX501393"/>
    <x v="17"/>
    <x v="0"/>
    <n v="33.299999999999997"/>
    <n v="33.299999999999997"/>
    <x v="52"/>
    <x v="55"/>
    <x v="1"/>
    <x v="4"/>
    <x v="0"/>
    <x v="0"/>
    <x v="2"/>
    <x v="3"/>
    <x v="7"/>
    <x v="1"/>
  </r>
  <r>
    <s v="TX501394"/>
    <x v="10"/>
    <x v="1"/>
    <n v="39.1"/>
    <n v="78.2"/>
    <x v="52"/>
    <x v="51"/>
    <x v="1"/>
    <x v="0"/>
    <x v="0"/>
    <x v="0"/>
    <x v="44"/>
    <x v="2"/>
    <x v="7"/>
    <x v="1"/>
  </r>
  <r>
    <s v="TX501395"/>
    <x v="7"/>
    <x v="4"/>
    <n v="45.3"/>
    <n v="543.59999999999991"/>
    <x v="52"/>
    <x v="55"/>
    <x v="1"/>
    <x v="2"/>
    <x v="0"/>
    <x v="0"/>
    <x v="33"/>
    <x v="3"/>
    <x v="7"/>
    <x v="1"/>
  </r>
  <r>
    <s v="TX501396"/>
    <x v="9"/>
    <x v="3"/>
    <n v="33.9"/>
    <n v="237.29999999999998"/>
    <x v="52"/>
    <x v="55"/>
    <x v="1"/>
    <x v="4"/>
    <x v="0"/>
    <x v="0"/>
    <x v="33"/>
    <x v="3"/>
    <x v="7"/>
    <x v="1"/>
  </r>
  <r>
    <s v="TX501397"/>
    <x v="8"/>
    <x v="2"/>
    <n v="19"/>
    <n v="57"/>
    <x v="52"/>
    <x v="55"/>
    <x v="1"/>
    <x v="0"/>
    <x v="2"/>
    <x v="0"/>
    <x v="15"/>
    <x v="3"/>
    <x v="7"/>
    <x v="1"/>
  </r>
  <r>
    <s v="TX501398"/>
    <x v="4"/>
    <x v="0"/>
    <n v="41.9"/>
    <n v="41.9"/>
    <x v="52"/>
    <x v="51"/>
    <x v="2"/>
    <x v="2"/>
    <x v="0"/>
    <x v="0"/>
    <x v="22"/>
    <x v="2"/>
    <x v="7"/>
    <x v="2"/>
  </r>
  <r>
    <s v="TX501399"/>
    <x v="1"/>
    <x v="12"/>
    <n v="37.5"/>
    <n v="150"/>
    <x v="52"/>
    <x v="56"/>
    <x v="2"/>
    <x v="0"/>
    <x v="0"/>
    <x v="0"/>
    <x v="3"/>
    <x v="7"/>
    <x v="7"/>
    <x v="2"/>
  </r>
  <r>
    <s v="TX501400"/>
    <x v="0"/>
    <x v="1"/>
    <n v="40.799999999999997"/>
    <n v="81.599999999999994"/>
    <x v="52"/>
    <x v="51"/>
    <x v="1"/>
    <x v="0"/>
    <x v="0"/>
    <x v="0"/>
    <x v="3"/>
    <x v="2"/>
    <x v="7"/>
    <x v="1"/>
  </r>
  <r>
    <s v="TX501401"/>
    <x v="0"/>
    <x v="12"/>
    <n v="23.1"/>
    <n v="92.4"/>
    <x v="52"/>
    <x v="55"/>
    <x v="2"/>
    <x v="4"/>
    <x v="0"/>
    <x v="0"/>
    <x v="3"/>
    <x v="3"/>
    <x v="7"/>
    <x v="2"/>
  </r>
  <r>
    <s v="TX501402"/>
    <x v="8"/>
    <x v="9"/>
    <n v="39.299999999999997"/>
    <n v="196.5"/>
    <x v="52"/>
    <x v="55"/>
    <x v="2"/>
    <x v="0"/>
    <x v="0"/>
    <x v="0"/>
    <x v="3"/>
    <x v="3"/>
    <x v="7"/>
    <x v="2"/>
  </r>
  <r>
    <s v="TX501403"/>
    <x v="2"/>
    <x v="12"/>
    <n v="85.2"/>
    <n v="340.8"/>
    <x v="52"/>
    <x v="53"/>
    <x v="1"/>
    <x v="2"/>
    <x v="0"/>
    <x v="0"/>
    <x v="3"/>
    <x v="0"/>
    <x v="7"/>
    <x v="1"/>
  </r>
  <r>
    <s v="TX501404"/>
    <x v="8"/>
    <x v="13"/>
    <n v="16"/>
    <n v="96"/>
    <x v="52"/>
    <x v="51"/>
    <x v="1"/>
    <x v="1"/>
    <x v="0"/>
    <x v="0"/>
    <x v="3"/>
    <x v="2"/>
    <x v="7"/>
    <x v="1"/>
  </r>
  <r>
    <s v="TX501405"/>
    <x v="1"/>
    <x v="1"/>
    <n v="33.799999999999997"/>
    <n v="67.599999999999994"/>
    <x v="52"/>
    <x v="52"/>
    <x v="2"/>
    <x v="1"/>
    <x v="0"/>
    <x v="0"/>
    <x v="3"/>
    <x v="5"/>
    <x v="7"/>
    <x v="2"/>
  </r>
  <r>
    <s v="TX501406"/>
    <x v="3"/>
    <x v="0"/>
    <n v="70"/>
    <n v="70"/>
    <x v="52"/>
    <x v="55"/>
    <x v="2"/>
    <x v="0"/>
    <x v="0"/>
    <x v="0"/>
    <x v="3"/>
    <x v="3"/>
    <x v="7"/>
    <x v="2"/>
  </r>
  <r>
    <s v="TX501407"/>
    <x v="9"/>
    <x v="0"/>
    <n v="88"/>
    <n v="88"/>
    <x v="52"/>
    <x v="53"/>
    <x v="2"/>
    <x v="3"/>
    <x v="0"/>
    <x v="0"/>
    <x v="3"/>
    <x v="0"/>
    <x v="7"/>
    <x v="2"/>
  </r>
  <r>
    <s v="TX501408"/>
    <x v="2"/>
    <x v="2"/>
    <n v="74.099999999999994"/>
    <n v="222.29999999999998"/>
    <x v="52"/>
    <x v="56"/>
    <x v="1"/>
    <x v="4"/>
    <x v="1"/>
    <x v="0"/>
    <x v="3"/>
    <x v="7"/>
    <x v="7"/>
    <x v="1"/>
  </r>
  <r>
    <s v="TX501409"/>
    <x v="2"/>
    <x v="0"/>
    <n v="161.9"/>
    <n v="161.9"/>
    <x v="52"/>
    <x v="54"/>
    <x v="1"/>
    <x v="2"/>
    <x v="0"/>
    <x v="0"/>
    <x v="3"/>
    <x v="1"/>
    <x v="7"/>
    <x v="1"/>
  </r>
  <r>
    <s v="TX501410"/>
    <x v="4"/>
    <x v="1"/>
    <n v="44"/>
    <n v="88"/>
    <x v="52"/>
    <x v="55"/>
    <x v="3"/>
    <x v="4"/>
    <x v="1"/>
    <x v="0"/>
    <x v="3"/>
    <x v="3"/>
    <x v="7"/>
    <x v="3"/>
  </r>
  <r>
    <s v="TX501411"/>
    <x v="11"/>
    <x v="0"/>
    <n v="32.1"/>
    <n v="32.1"/>
    <x v="52"/>
    <x v="56"/>
    <x v="2"/>
    <x v="3"/>
    <x v="3"/>
    <x v="0"/>
    <x v="3"/>
    <x v="7"/>
    <x v="7"/>
    <x v="2"/>
  </r>
  <r>
    <s v="TX501412"/>
    <x v="2"/>
    <x v="12"/>
    <n v="104.8"/>
    <n v="419.2"/>
    <x v="53"/>
    <x v="51"/>
    <x v="3"/>
    <x v="0"/>
    <x v="0"/>
    <x v="0"/>
    <x v="3"/>
    <x v="1"/>
    <x v="8"/>
    <x v="3"/>
  </r>
  <r>
    <s v="TX501413"/>
    <x v="9"/>
    <x v="13"/>
    <n v="67.400000000000006"/>
    <n v="404.40000000000003"/>
    <x v="53"/>
    <x v="54"/>
    <x v="2"/>
    <x v="3"/>
    <x v="0"/>
    <x v="0"/>
    <x v="3"/>
    <x v="3"/>
    <x v="8"/>
    <x v="2"/>
  </r>
  <r>
    <s v="TX501414"/>
    <x v="6"/>
    <x v="1"/>
    <n v="115.2"/>
    <n v="230.4"/>
    <x v="53"/>
    <x v="54"/>
    <x v="2"/>
    <x v="1"/>
    <x v="0"/>
    <x v="0"/>
    <x v="4"/>
    <x v="3"/>
    <x v="8"/>
    <x v="2"/>
  </r>
  <r>
    <s v="TX501415"/>
    <x v="8"/>
    <x v="19"/>
    <n v="15.5"/>
    <n v="449.5"/>
    <x v="53"/>
    <x v="51"/>
    <x v="2"/>
    <x v="0"/>
    <x v="1"/>
    <x v="0"/>
    <x v="23"/>
    <x v="1"/>
    <x v="8"/>
    <x v="2"/>
  </r>
  <r>
    <s v="TX501416"/>
    <x v="6"/>
    <x v="5"/>
    <n v="66.400000000000006"/>
    <n v="730.40000000000009"/>
    <x v="53"/>
    <x v="51"/>
    <x v="2"/>
    <x v="0"/>
    <x v="0"/>
    <x v="0"/>
    <x v="6"/>
    <x v="1"/>
    <x v="8"/>
    <x v="2"/>
  </r>
  <r>
    <s v="TX501417"/>
    <x v="9"/>
    <x v="4"/>
    <n v="68.099999999999994"/>
    <n v="817.19999999999993"/>
    <x v="53"/>
    <x v="54"/>
    <x v="2"/>
    <x v="2"/>
    <x v="0"/>
    <x v="0"/>
    <x v="8"/>
    <x v="3"/>
    <x v="8"/>
    <x v="2"/>
  </r>
  <r>
    <s v="TX501418"/>
    <x v="8"/>
    <x v="9"/>
    <n v="32.5"/>
    <n v="162.5"/>
    <x v="53"/>
    <x v="53"/>
    <x v="1"/>
    <x v="2"/>
    <x v="1"/>
    <x v="0"/>
    <x v="8"/>
    <x v="5"/>
    <x v="8"/>
    <x v="1"/>
  </r>
  <r>
    <s v="TX501419"/>
    <x v="15"/>
    <x v="2"/>
    <n v="61.2"/>
    <n v="183.60000000000002"/>
    <x v="53"/>
    <x v="51"/>
    <x v="2"/>
    <x v="1"/>
    <x v="1"/>
    <x v="0"/>
    <x v="8"/>
    <x v="1"/>
    <x v="8"/>
    <x v="2"/>
  </r>
  <r>
    <s v="TX501420"/>
    <x v="9"/>
    <x v="1"/>
    <n v="54.2"/>
    <n v="108.4"/>
    <x v="53"/>
    <x v="54"/>
    <x v="2"/>
    <x v="1"/>
    <x v="0"/>
    <x v="0"/>
    <x v="8"/>
    <x v="3"/>
    <x v="8"/>
    <x v="2"/>
  </r>
  <r>
    <s v="TX501421"/>
    <x v="11"/>
    <x v="8"/>
    <n v="28.7"/>
    <n v="229.6"/>
    <x v="53"/>
    <x v="51"/>
    <x v="1"/>
    <x v="1"/>
    <x v="0"/>
    <x v="0"/>
    <x v="9"/>
    <x v="1"/>
    <x v="8"/>
    <x v="1"/>
  </r>
  <r>
    <s v="TX501422"/>
    <x v="12"/>
    <x v="13"/>
    <n v="38.200000000000003"/>
    <n v="229.20000000000002"/>
    <x v="53"/>
    <x v="53"/>
    <x v="2"/>
    <x v="0"/>
    <x v="1"/>
    <x v="0"/>
    <x v="9"/>
    <x v="5"/>
    <x v="8"/>
    <x v="2"/>
  </r>
  <r>
    <s v="TX501423"/>
    <x v="8"/>
    <x v="4"/>
    <n v="17.600000000000001"/>
    <n v="211.20000000000002"/>
    <x v="53"/>
    <x v="54"/>
    <x v="2"/>
    <x v="2"/>
    <x v="1"/>
    <x v="0"/>
    <x v="9"/>
    <x v="3"/>
    <x v="8"/>
    <x v="2"/>
  </r>
  <r>
    <s v="TX501424"/>
    <x v="10"/>
    <x v="2"/>
    <n v="74.599999999999994"/>
    <n v="223.79999999999998"/>
    <x v="53"/>
    <x v="55"/>
    <x v="2"/>
    <x v="2"/>
    <x v="0"/>
    <x v="0"/>
    <x v="11"/>
    <x v="7"/>
    <x v="8"/>
    <x v="2"/>
  </r>
  <r>
    <s v="TX501425"/>
    <x v="16"/>
    <x v="20"/>
    <n v="72.599999999999994"/>
    <n v="1089"/>
    <x v="53"/>
    <x v="55"/>
    <x v="0"/>
    <x v="1"/>
    <x v="1"/>
    <x v="0"/>
    <x v="11"/>
    <x v="7"/>
    <x v="8"/>
    <x v="0"/>
  </r>
  <r>
    <s v="TX501426"/>
    <x v="7"/>
    <x v="0"/>
    <n v="62.3"/>
    <n v="62.3"/>
    <x v="53"/>
    <x v="54"/>
    <x v="2"/>
    <x v="1"/>
    <x v="0"/>
    <x v="0"/>
    <x v="11"/>
    <x v="3"/>
    <x v="8"/>
    <x v="2"/>
  </r>
  <r>
    <s v="TX501427"/>
    <x v="3"/>
    <x v="2"/>
    <n v="33.799999999999997"/>
    <n v="101.39999999999999"/>
    <x v="53"/>
    <x v="51"/>
    <x v="1"/>
    <x v="0"/>
    <x v="2"/>
    <x v="0"/>
    <x v="20"/>
    <x v="1"/>
    <x v="8"/>
    <x v="1"/>
  </r>
  <r>
    <s v="TX501428"/>
    <x v="9"/>
    <x v="0"/>
    <n v="85.7"/>
    <n v="85.7"/>
    <x v="53"/>
    <x v="52"/>
    <x v="1"/>
    <x v="3"/>
    <x v="1"/>
    <x v="0"/>
    <x v="21"/>
    <x v="2"/>
    <x v="8"/>
    <x v="1"/>
  </r>
  <r>
    <s v="TX501429"/>
    <x v="6"/>
    <x v="1"/>
    <n v="92.1"/>
    <n v="184.2"/>
    <x v="53"/>
    <x v="51"/>
    <x v="1"/>
    <x v="1"/>
    <x v="0"/>
    <x v="0"/>
    <x v="21"/>
    <x v="1"/>
    <x v="8"/>
    <x v="1"/>
  </r>
  <r>
    <s v="TX501430"/>
    <x v="16"/>
    <x v="2"/>
    <n v="65.099999999999994"/>
    <n v="195.29999999999998"/>
    <x v="53"/>
    <x v="52"/>
    <x v="1"/>
    <x v="0"/>
    <x v="0"/>
    <x v="0"/>
    <x v="1"/>
    <x v="2"/>
    <x v="8"/>
    <x v="1"/>
  </r>
  <r>
    <s v="TX501431"/>
    <x v="9"/>
    <x v="3"/>
    <n v="20.3"/>
    <n v="142.1"/>
    <x v="53"/>
    <x v="54"/>
    <x v="2"/>
    <x v="2"/>
    <x v="2"/>
    <x v="0"/>
    <x v="2"/>
    <x v="3"/>
    <x v="8"/>
    <x v="2"/>
  </r>
  <r>
    <s v="TX501432"/>
    <x v="19"/>
    <x v="1"/>
    <n v="29.8"/>
    <n v="59.6"/>
    <x v="53"/>
    <x v="51"/>
    <x v="2"/>
    <x v="1"/>
    <x v="2"/>
    <x v="0"/>
    <x v="34"/>
    <x v="1"/>
    <x v="8"/>
    <x v="2"/>
  </r>
  <r>
    <s v="TX501433"/>
    <x v="0"/>
    <x v="1"/>
    <n v="24.2"/>
    <n v="48.4"/>
    <x v="53"/>
    <x v="51"/>
    <x v="2"/>
    <x v="3"/>
    <x v="2"/>
    <x v="0"/>
    <x v="3"/>
    <x v="1"/>
    <x v="8"/>
    <x v="2"/>
  </r>
  <r>
    <s v="TX501434"/>
    <x v="3"/>
    <x v="0"/>
    <n v="57.3"/>
    <n v="57.3"/>
    <x v="53"/>
    <x v="51"/>
    <x v="1"/>
    <x v="0"/>
    <x v="0"/>
    <x v="0"/>
    <x v="3"/>
    <x v="1"/>
    <x v="8"/>
    <x v="1"/>
  </r>
  <r>
    <s v="TX501435"/>
    <x v="2"/>
    <x v="0"/>
    <n v="108.9"/>
    <n v="108.9"/>
    <x v="53"/>
    <x v="51"/>
    <x v="2"/>
    <x v="1"/>
    <x v="0"/>
    <x v="0"/>
    <x v="3"/>
    <x v="1"/>
    <x v="8"/>
    <x v="2"/>
  </r>
  <r>
    <s v="TX501436"/>
    <x v="7"/>
    <x v="9"/>
    <n v="50.7"/>
    <n v="253.5"/>
    <x v="53"/>
    <x v="54"/>
    <x v="2"/>
    <x v="0"/>
    <x v="0"/>
    <x v="0"/>
    <x v="3"/>
    <x v="3"/>
    <x v="8"/>
    <x v="2"/>
  </r>
  <r>
    <s v="TX501437"/>
    <x v="7"/>
    <x v="11"/>
    <n v="66.099999999999994"/>
    <n v="594.9"/>
    <x v="53"/>
    <x v="60"/>
    <x v="2"/>
    <x v="1"/>
    <x v="0"/>
    <x v="0"/>
    <x v="3"/>
    <x v="12"/>
    <x v="8"/>
    <x v="2"/>
  </r>
  <r>
    <s v="TX501438"/>
    <x v="12"/>
    <x v="9"/>
    <n v="36.700000000000003"/>
    <n v="183.5"/>
    <x v="53"/>
    <x v="53"/>
    <x v="2"/>
    <x v="4"/>
    <x v="0"/>
    <x v="0"/>
    <x v="3"/>
    <x v="5"/>
    <x v="8"/>
    <x v="2"/>
  </r>
  <r>
    <s v="TX501439"/>
    <x v="8"/>
    <x v="14"/>
    <n v="19.3"/>
    <n v="328.1"/>
    <x v="53"/>
    <x v="51"/>
    <x v="1"/>
    <x v="0"/>
    <x v="0"/>
    <x v="0"/>
    <x v="43"/>
    <x v="1"/>
    <x v="8"/>
    <x v="1"/>
  </r>
  <r>
    <s v="TX501440"/>
    <x v="8"/>
    <x v="12"/>
    <n v="20.7"/>
    <n v="82.8"/>
    <x v="53"/>
    <x v="54"/>
    <x v="1"/>
    <x v="1"/>
    <x v="2"/>
    <x v="0"/>
    <x v="6"/>
    <x v="3"/>
    <x v="8"/>
    <x v="1"/>
  </r>
  <r>
    <s v="TX501441"/>
    <x v="5"/>
    <x v="2"/>
    <n v="54.7"/>
    <n v="164.10000000000002"/>
    <x v="53"/>
    <x v="55"/>
    <x v="3"/>
    <x v="1"/>
    <x v="4"/>
    <x v="0"/>
    <x v="6"/>
    <x v="7"/>
    <x v="8"/>
    <x v="3"/>
  </r>
  <r>
    <s v="TX501442"/>
    <x v="4"/>
    <x v="1"/>
    <n v="19.8"/>
    <n v="39.6"/>
    <x v="53"/>
    <x v="53"/>
    <x v="2"/>
    <x v="4"/>
    <x v="1"/>
    <x v="0"/>
    <x v="8"/>
    <x v="5"/>
    <x v="8"/>
    <x v="2"/>
  </r>
  <r>
    <s v="TX501443"/>
    <x v="7"/>
    <x v="0"/>
    <n v="41.1"/>
    <n v="41.1"/>
    <x v="53"/>
    <x v="51"/>
    <x v="2"/>
    <x v="0"/>
    <x v="2"/>
    <x v="0"/>
    <x v="8"/>
    <x v="1"/>
    <x v="8"/>
    <x v="2"/>
  </r>
  <r>
    <s v="TX501444"/>
    <x v="11"/>
    <x v="8"/>
    <n v="43.5"/>
    <n v="348"/>
    <x v="53"/>
    <x v="53"/>
    <x v="2"/>
    <x v="3"/>
    <x v="0"/>
    <x v="0"/>
    <x v="8"/>
    <x v="5"/>
    <x v="8"/>
    <x v="2"/>
  </r>
  <r>
    <s v="TX501445"/>
    <x v="8"/>
    <x v="21"/>
    <n v="19"/>
    <n v="266"/>
    <x v="53"/>
    <x v="54"/>
    <x v="1"/>
    <x v="0"/>
    <x v="0"/>
    <x v="0"/>
    <x v="26"/>
    <x v="3"/>
    <x v="8"/>
    <x v="1"/>
  </r>
  <r>
    <s v="TX501446"/>
    <x v="2"/>
    <x v="12"/>
    <n v="51.4"/>
    <n v="205.6"/>
    <x v="53"/>
    <x v="55"/>
    <x v="2"/>
    <x v="0"/>
    <x v="0"/>
    <x v="0"/>
    <x v="26"/>
    <x v="7"/>
    <x v="8"/>
    <x v="2"/>
  </r>
  <r>
    <s v="TX501447"/>
    <x v="10"/>
    <x v="1"/>
    <n v="39.799999999999997"/>
    <n v="79.599999999999994"/>
    <x v="53"/>
    <x v="52"/>
    <x v="1"/>
    <x v="3"/>
    <x v="1"/>
    <x v="0"/>
    <x v="13"/>
    <x v="2"/>
    <x v="8"/>
    <x v="1"/>
  </r>
  <r>
    <s v="TX501448"/>
    <x v="6"/>
    <x v="9"/>
    <n v="61"/>
    <n v="305"/>
    <x v="53"/>
    <x v="54"/>
    <x v="0"/>
    <x v="0"/>
    <x v="2"/>
    <x v="0"/>
    <x v="21"/>
    <x v="3"/>
    <x v="8"/>
    <x v="0"/>
  </r>
  <r>
    <s v="TX501449"/>
    <x v="8"/>
    <x v="5"/>
    <n v="15.1"/>
    <n v="166.1"/>
    <x v="54"/>
    <x v="59"/>
    <x v="1"/>
    <x v="3"/>
    <x v="2"/>
    <x v="0"/>
    <x v="2"/>
    <x v="0"/>
    <x v="8"/>
    <x v="1"/>
  </r>
  <r>
    <s v="TX501450"/>
    <x v="1"/>
    <x v="3"/>
    <n v="71.3"/>
    <n v="499.09999999999997"/>
    <x v="54"/>
    <x v="51"/>
    <x v="1"/>
    <x v="4"/>
    <x v="0"/>
    <x v="0"/>
    <x v="3"/>
    <x v="3"/>
    <x v="8"/>
    <x v="1"/>
  </r>
  <r>
    <s v="TX501451"/>
    <x v="10"/>
    <x v="0"/>
    <n v="25.8"/>
    <n v="25.8"/>
    <x v="54"/>
    <x v="52"/>
    <x v="2"/>
    <x v="0"/>
    <x v="2"/>
    <x v="0"/>
    <x v="3"/>
    <x v="1"/>
    <x v="8"/>
    <x v="2"/>
  </r>
  <r>
    <s v="TX501452"/>
    <x v="8"/>
    <x v="9"/>
    <n v="39.6"/>
    <n v="198"/>
    <x v="54"/>
    <x v="52"/>
    <x v="1"/>
    <x v="1"/>
    <x v="2"/>
    <x v="0"/>
    <x v="3"/>
    <x v="1"/>
    <x v="8"/>
    <x v="1"/>
  </r>
  <r>
    <s v="TX501453"/>
    <x v="5"/>
    <x v="1"/>
    <n v="64"/>
    <n v="128"/>
    <x v="54"/>
    <x v="54"/>
    <x v="1"/>
    <x v="1"/>
    <x v="1"/>
    <x v="0"/>
    <x v="3"/>
    <x v="7"/>
    <x v="8"/>
    <x v="1"/>
  </r>
  <r>
    <s v="TX501454"/>
    <x v="8"/>
    <x v="1"/>
    <n v="30.6"/>
    <n v="61.2"/>
    <x v="54"/>
    <x v="53"/>
    <x v="1"/>
    <x v="0"/>
    <x v="2"/>
    <x v="0"/>
    <x v="3"/>
    <x v="2"/>
    <x v="8"/>
    <x v="1"/>
  </r>
  <r>
    <s v="TX501455"/>
    <x v="8"/>
    <x v="1"/>
    <n v="21.3"/>
    <n v="42.6"/>
    <x v="54"/>
    <x v="51"/>
    <x v="1"/>
    <x v="0"/>
    <x v="1"/>
    <x v="0"/>
    <x v="3"/>
    <x v="3"/>
    <x v="8"/>
    <x v="1"/>
  </r>
  <r>
    <s v="TX501456"/>
    <x v="7"/>
    <x v="0"/>
    <n v="40.799999999999997"/>
    <n v="40.799999999999997"/>
    <x v="54"/>
    <x v="52"/>
    <x v="2"/>
    <x v="4"/>
    <x v="0"/>
    <x v="0"/>
    <x v="3"/>
    <x v="1"/>
    <x v="8"/>
    <x v="2"/>
  </r>
  <r>
    <s v="TX501457"/>
    <x v="9"/>
    <x v="12"/>
    <n v="27.7"/>
    <n v="110.8"/>
    <x v="54"/>
    <x v="51"/>
    <x v="2"/>
    <x v="0"/>
    <x v="1"/>
    <x v="0"/>
    <x v="3"/>
    <x v="3"/>
    <x v="8"/>
    <x v="2"/>
  </r>
  <r>
    <s v="TX501458"/>
    <x v="6"/>
    <x v="1"/>
    <n v="64.599999999999994"/>
    <n v="129.19999999999999"/>
    <x v="54"/>
    <x v="51"/>
    <x v="1"/>
    <x v="0"/>
    <x v="1"/>
    <x v="0"/>
    <x v="3"/>
    <x v="3"/>
    <x v="8"/>
    <x v="1"/>
  </r>
  <r>
    <s v="TX501459"/>
    <x v="6"/>
    <x v="27"/>
    <n v="91.1"/>
    <n v="1457.6"/>
    <x v="54"/>
    <x v="51"/>
    <x v="2"/>
    <x v="1"/>
    <x v="2"/>
    <x v="0"/>
    <x v="3"/>
    <x v="3"/>
    <x v="8"/>
    <x v="2"/>
  </r>
  <r>
    <s v="TX501460"/>
    <x v="1"/>
    <x v="0"/>
    <n v="39.5"/>
    <n v="39.5"/>
    <x v="54"/>
    <x v="61"/>
    <x v="2"/>
    <x v="0"/>
    <x v="0"/>
    <x v="0"/>
    <x v="3"/>
    <x v="9"/>
    <x v="8"/>
    <x v="2"/>
  </r>
  <r>
    <s v="TX501461"/>
    <x v="9"/>
    <x v="1"/>
    <n v="21.8"/>
    <n v="43.6"/>
    <x v="54"/>
    <x v="58"/>
    <x v="1"/>
    <x v="4"/>
    <x v="2"/>
    <x v="0"/>
    <x v="3"/>
    <x v="5"/>
    <x v="8"/>
    <x v="1"/>
  </r>
  <r>
    <s v="TX501462"/>
    <x v="8"/>
    <x v="1"/>
    <n v="51"/>
    <n v="102"/>
    <x v="54"/>
    <x v="53"/>
    <x v="1"/>
    <x v="3"/>
    <x v="2"/>
    <x v="0"/>
    <x v="3"/>
    <x v="2"/>
    <x v="8"/>
    <x v="1"/>
  </r>
  <r>
    <s v="TX501463"/>
    <x v="2"/>
    <x v="0"/>
    <n v="92.6"/>
    <n v="92.6"/>
    <x v="54"/>
    <x v="53"/>
    <x v="2"/>
    <x v="0"/>
    <x v="2"/>
    <x v="0"/>
    <x v="35"/>
    <x v="2"/>
    <x v="8"/>
    <x v="2"/>
  </r>
  <r>
    <s v="TX501464"/>
    <x v="9"/>
    <x v="1"/>
    <n v="31.1"/>
    <n v="62.2"/>
    <x v="54"/>
    <x v="59"/>
    <x v="0"/>
    <x v="1"/>
    <x v="3"/>
    <x v="0"/>
    <x v="23"/>
    <x v="0"/>
    <x v="8"/>
    <x v="0"/>
  </r>
  <r>
    <s v="TX501465"/>
    <x v="5"/>
    <x v="2"/>
    <n v="56.4"/>
    <n v="169.2"/>
    <x v="54"/>
    <x v="51"/>
    <x v="0"/>
    <x v="1"/>
    <x v="0"/>
    <x v="0"/>
    <x v="6"/>
    <x v="3"/>
    <x v="8"/>
    <x v="0"/>
  </r>
  <r>
    <s v="TX501466"/>
    <x v="9"/>
    <x v="0"/>
    <n v="41.9"/>
    <n v="41.9"/>
    <x v="54"/>
    <x v="54"/>
    <x v="1"/>
    <x v="1"/>
    <x v="0"/>
    <x v="0"/>
    <x v="6"/>
    <x v="7"/>
    <x v="8"/>
    <x v="1"/>
  </r>
  <r>
    <s v="TX501467"/>
    <x v="10"/>
    <x v="3"/>
    <n v="45.9"/>
    <n v="321.3"/>
    <x v="54"/>
    <x v="51"/>
    <x v="1"/>
    <x v="3"/>
    <x v="2"/>
    <x v="0"/>
    <x v="8"/>
    <x v="3"/>
    <x v="8"/>
    <x v="1"/>
  </r>
  <r>
    <s v="TX501468"/>
    <x v="14"/>
    <x v="11"/>
    <n v="24.4"/>
    <n v="219.6"/>
    <x v="54"/>
    <x v="58"/>
    <x v="1"/>
    <x v="3"/>
    <x v="2"/>
    <x v="0"/>
    <x v="8"/>
    <x v="5"/>
    <x v="8"/>
    <x v="1"/>
  </r>
  <r>
    <s v="TX501469"/>
    <x v="8"/>
    <x v="0"/>
    <n v="18.2"/>
    <n v="18.2"/>
    <x v="54"/>
    <x v="51"/>
    <x v="2"/>
    <x v="2"/>
    <x v="2"/>
    <x v="0"/>
    <x v="8"/>
    <x v="3"/>
    <x v="8"/>
    <x v="2"/>
  </r>
  <r>
    <s v="TX501470"/>
    <x v="8"/>
    <x v="12"/>
    <n v="51.2"/>
    <n v="204.8"/>
    <x v="54"/>
    <x v="51"/>
    <x v="2"/>
    <x v="0"/>
    <x v="0"/>
    <x v="0"/>
    <x v="8"/>
    <x v="3"/>
    <x v="8"/>
    <x v="2"/>
  </r>
  <r>
    <s v="TX501471"/>
    <x v="6"/>
    <x v="0"/>
    <n v="59.7"/>
    <n v="59.7"/>
    <x v="54"/>
    <x v="53"/>
    <x v="1"/>
    <x v="0"/>
    <x v="2"/>
    <x v="0"/>
    <x v="8"/>
    <x v="2"/>
    <x v="8"/>
    <x v="1"/>
  </r>
  <r>
    <s v="TX501472"/>
    <x v="4"/>
    <x v="1"/>
    <n v="33.6"/>
    <n v="67.2"/>
    <x v="54"/>
    <x v="52"/>
    <x v="2"/>
    <x v="0"/>
    <x v="0"/>
    <x v="0"/>
    <x v="17"/>
    <x v="1"/>
    <x v="8"/>
    <x v="2"/>
  </r>
  <r>
    <s v="TX501473"/>
    <x v="12"/>
    <x v="0"/>
    <n v="90.4"/>
    <n v="90.4"/>
    <x v="54"/>
    <x v="58"/>
    <x v="1"/>
    <x v="1"/>
    <x v="2"/>
    <x v="0"/>
    <x v="10"/>
    <x v="5"/>
    <x v="8"/>
    <x v="1"/>
  </r>
  <r>
    <s v="TX501474"/>
    <x v="11"/>
    <x v="2"/>
    <n v="70.3"/>
    <n v="210.89999999999998"/>
    <x v="54"/>
    <x v="54"/>
    <x v="1"/>
    <x v="1"/>
    <x v="2"/>
    <x v="0"/>
    <x v="11"/>
    <x v="7"/>
    <x v="8"/>
    <x v="1"/>
  </r>
  <r>
    <s v="TX501475"/>
    <x v="4"/>
    <x v="1"/>
    <n v="20.5"/>
    <n v="41"/>
    <x v="54"/>
    <x v="53"/>
    <x v="2"/>
    <x v="0"/>
    <x v="1"/>
    <x v="0"/>
    <x v="11"/>
    <x v="2"/>
    <x v="8"/>
    <x v="2"/>
  </r>
  <r>
    <s v="TX501476"/>
    <x v="5"/>
    <x v="5"/>
    <n v="37.6"/>
    <n v="413.6"/>
    <x v="54"/>
    <x v="51"/>
    <x v="1"/>
    <x v="0"/>
    <x v="0"/>
    <x v="0"/>
    <x v="38"/>
    <x v="3"/>
    <x v="8"/>
    <x v="1"/>
  </r>
  <r>
    <s v="TX501477"/>
    <x v="5"/>
    <x v="12"/>
    <n v="61.5"/>
    <n v="246"/>
    <x v="54"/>
    <x v="62"/>
    <x v="2"/>
    <x v="1"/>
    <x v="4"/>
    <x v="0"/>
    <x v="13"/>
    <x v="6"/>
    <x v="8"/>
    <x v="2"/>
  </r>
  <r>
    <s v="TX501478"/>
    <x v="9"/>
    <x v="0"/>
    <n v="33.5"/>
    <n v="33.5"/>
    <x v="55"/>
    <x v="59"/>
    <x v="1"/>
    <x v="4"/>
    <x v="1"/>
    <x v="0"/>
    <x v="21"/>
    <x v="5"/>
    <x v="8"/>
    <x v="1"/>
  </r>
  <r>
    <s v="TX501479"/>
    <x v="4"/>
    <x v="2"/>
    <n v="29.3"/>
    <n v="87.9"/>
    <x v="55"/>
    <x v="53"/>
    <x v="2"/>
    <x v="1"/>
    <x v="2"/>
    <x v="0"/>
    <x v="1"/>
    <x v="1"/>
    <x v="8"/>
    <x v="2"/>
  </r>
  <r>
    <s v="TX501480"/>
    <x v="2"/>
    <x v="1"/>
    <n v="125.9"/>
    <n v="251.8"/>
    <x v="55"/>
    <x v="57"/>
    <x v="2"/>
    <x v="4"/>
    <x v="1"/>
    <x v="0"/>
    <x v="1"/>
    <x v="0"/>
    <x v="8"/>
    <x v="2"/>
  </r>
  <r>
    <s v="TX501481"/>
    <x v="5"/>
    <x v="9"/>
    <n v="29.3"/>
    <n v="146.5"/>
    <x v="55"/>
    <x v="51"/>
    <x v="1"/>
    <x v="2"/>
    <x v="0"/>
    <x v="0"/>
    <x v="44"/>
    <x v="7"/>
    <x v="8"/>
    <x v="1"/>
  </r>
  <r>
    <s v="TX501482"/>
    <x v="9"/>
    <x v="0"/>
    <n v="37.799999999999997"/>
    <n v="37.799999999999997"/>
    <x v="55"/>
    <x v="58"/>
    <x v="2"/>
    <x v="0"/>
    <x v="2"/>
    <x v="0"/>
    <x v="3"/>
    <x v="2"/>
    <x v="8"/>
    <x v="2"/>
  </r>
  <r>
    <s v="TX501483"/>
    <x v="0"/>
    <x v="12"/>
    <n v="31.7"/>
    <n v="126.8"/>
    <x v="55"/>
    <x v="52"/>
    <x v="1"/>
    <x v="2"/>
    <x v="2"/>
    <x v="0"/>
    <x v="3"/>
    <x v="3"/>
    <x v="8"/>
    <x v="1"/>
  </r>
  <r>
    <s v="TX501484"/>
    <x v="8"/>
    <x v="9"/>
    <n v="26.3"/>
    <n v="131.5"/>
    <x v="55"/>
    <x v="52"/>
    <x v="2"/>
    <x v="3"/>
    <x v="2"/>
    <x v="0"/>
    <x v="3"/>
    <x v="3"/>
    <x v="8"/>
    <x v="2"/>
  </r>
  <r>
    <s v="TX501485"/>
    <x v="8"/>
    <x v="2"/>
    <n v="23.1"/>
    <n v="69.300000000000011"/>
    <x v="55"/>
    <x v="52"/>
    <x v="3"/>
    <x v="2"/>
    <x v="1"/>
    <x v="0"/>
    <x v="3"/>
    <x v="3"/>
    <x v="8"/>
    <x v="3"/>
  </r>
  <r>
    <s v="TX501486"/>
    <x v="4"/>
    <x v="0"/>
    <n v="22.3"/>
    <n v="22.3"/>
    <x v="55"/>
    <x v="53"/>
    <x v="2"/>
    <x v="2"/>
    <x v="0"/>
    <x v="0"/>
    <x v="3"/>
    <x v="1"/>
    <x v="8"/>
    <x v="2"/>
  </r>
  <r>
    <s v="TX501487"/>
    <x v="12"/>
    <x v="1"/>
    <n v="99.5"/>
    <n v="199"/>
    <x v="55"/>
    <x v="53"/>
    <x v="2"/>
    <x v="2"/>
    <x v="0"/>
    <x v="0"/>
    <x v="3"/>
    <x v="1"/>
    <x v="8"/>
    <x v="2"/>
  </r>
  <r>
    <s v="TX501488"/>
    <x v="12"/>
    <x v="12"/>
    <n v="47.4"/>
    <n v="189.6"/>
    <x v="55"/>
    <x v="58"/>
    <x v="2"/>
    <x v="1"/>
    <x v="0"/>
    <x v="0"/>
    <x v="3"/>
    <x v="2"/>
    <x v="8"/>
    <x v="2"/>
  </r>
  <r>
    <s v="TX501489"/>
    <x v="0"/>
    <x v="5"/>
    <n v="37.5"/>
    <n v="412.5"/>
    <x v="55"/>
    <x v="53"/>
    <x v="2"/>
    <x v="0"/>
    <x v="3"/>
    <x v="0"/>
    <x v="3"/>
    <x v="1"/>
    <x v="8"/>
    <x v="2"/>
  </r>
  <r>
    <s v="TX501490"/>
    <x v="10"/>
    <x v="0"/>
    <n v="45.1"/>
    <n v="45.1"/>
    <x v="55"/>
    <x v="57"/>
    <x v="1"/>
    <x v="3"/>
    <x v="2"/>
    <x v="0"/>
    <x v="24"/>
    <x v="0"/>
    <x v="8"/>
    <x v="1"/>
  </r>
  <r>
    <s v="TX501491"/>
    <x v="5"/>
    <x v="7"/>
    <n v="34.4"/>
    <n v="344"/>
    <x v="55"/>
    <x v="58"/>
    <x v="1"/>
    <x v="2"/>
    <x v="0"/>
    <x v="0"/>
    <x v="16"/>
    <x v="2"/>
    <x v="8"/>
    <x v="1"/>
  </r>
  <r>
    <s v="TX501492"/>
    <x v="4"/>
    <x v="1"/>
    <n v="38"/>
    <n v="76"/>
    <x v="55"/>
    <x v="53"/>
    <x v="2"/>
    <x v="1"/>
    <x v="0"/>
    <x v="0"/>
    <x v="5"/>
    <x v="1"/>
    <x v="8"/>
    <x v="2"/>
  </r>
  <r>
    <s v="TX501493"/>
    <x v="3"/>
    <x v="21"/>
    <n v="32.4"/>
    <n v="453.59999999999997"/>
    <x v="55"/>
    <x v="58"/>
    <x v="1"/>
    <x v="4"/>
    <x v="0"/>
    <x v="0"/>
    <x v="6"/>
    <x v="2"/>
    <x v="8"/>
    <x v="1"/>
  </r>
  <r>
    <s v="TX501494"/>
    <x v="6"/>
    <x v="2"/>
    <n v="40.9"/>
    <n v="122.69999999999999"/>
    <x v="55"/>
    <x v="51"/>
    <x v="0"/>
    <x v="1"/>
    <x v="0"/>
    <x v="0"/>
    <x v="8"/>
    <x v="7"/>
    <x v="8"/>
    <x v="0"/>
  </r>
  <r>
    <s v="TX501495"/>
    <x v="7"/>
    <x v="3"/>
    <n v="76.2"/>
    <n v="533.4"/>
    <x v="55"/>
    <x v="53"/>
    <x v="2"/>
    <x v="2"/>
    <x v="1"/>
    <x v="0"/>
    <x v="8"/>
    <x v="1"/>
    <x v="8"/>
    <x v="2"/>
  </r>
  <r>
    <s v="TX501496"/>
    <x v="2"/>
    <x v="0"/>
    <n v="85.6"/>
    <n v="85.6"/>
    <x v="55"/>
    <x v="53"/>
    <x v="1"/>
    <x v="2"/>
    <x v="0"/>
    <x v="0"/>
    <x v="8"/>
    <x v="1"/>
    <x v="8"/>
    <x v="1"/>
  </r>
  <r>
    <s v="TX501497"/>
    <x v="4"/>
    <x v="12"/>
    <n v="25"/>
    <n v="100"/>
    <x v="55"/>
    <x v="53"/>
    <x v="2"/>
    <x v="2"/>
    <x v="2"/>
    <x v="0"/>
    <x v="8"/>
    <x v="1"/>
    <x v="8"/>
    <x v="2"/>
  </r>
  <r>
    <s v="TX501498"/>
    <x v="2"/>
    <x v="9"/>
    <n v="150.69999999999999"/>
    <n v="753.5"/>
    <x v="55"/>
    <x v="52"/>
    <x v="0"/>
    <x v="0"/>
    <x v="2"/>
    <x v="0"/>
    <x v="8"/>
    <x v="3"/>
    <x v="8"/>
    <x v="0"/>
  </r>
  <r>
    <s v="TX501499"/>
    <x v="8"/>
    <x v="0"/>
    <n v="19.600000000000001"/>
    <n v="19.600000000000001"/>
    <x v="55"/>
    <x v="52"/>
    <x v="1"/>
    <x v="1"/>
    <x v="4"/>
    <x v="0"/>
    <x v="8"/>
    <x v="3"/>
    <x v="8"/>
    <x v="1"/>
  </r>
  <r>
    <s v="TX501500"/>
    <x v="13"/>
    <x v="1"/>
    <n v="37.5"/>
    <n v="75"/>
    <x v="55"/>
    <x v="58"/>
    <x v="2"/>
    <x v="1"/>
    <x v="2"/>
    <x v="0"/>
    <x v="17"/>
    <x v="2"/>
    <x v="8"/>
    <x v="2"/>
  </r>
  <r>
    <s v="TX501501"/>
    <x v="9"/>
    <x v="2"/>
    <n v="51.9"/>
    <n v="155.69999999999999"/>
    <x v="55"/>
    <x v="62"/>
    <x v="2"/>
    <x v="0"/>
    <x v="4"/>
    <x v="0"/>
    <x v="11"/>
    <x v="4"/>
    <x v="8"/>
    <x v="2"/>
  </r>
  <r>
    <s v="TX501502"/>
    <x v="1"/>
    <x v="1"/>
    <n v="30.9"/>
    <n v="61.8"/>
    <x v="55"/>
    <x v="53"/>
    <x v="2"/>
    <x v="1"/>
    <x v="0"/>
    <x v="0"/>
    <x v="18"/>
    <x v="1"/>
    <x v="8"/>
    <x v="2"/>
  </r>
  <r>
    <s v="TX501503"/>
    <x v="4"/>
    <x v="2"/>
    <n v="21.2"/>
    <n v="63.599999999999994"/>
    <x v="55"/>
    <x v="58"/>
    <x v="2"/>
    <x v="1"/>
    <x v="0"/>
    <x v="0"/>
    <x v="19"/>
    <x v="2"/>
    <x v="8"/>
    <x v="2"/>
  </r>
  <r>
    <s v="TX501504"/>
    <x v="13"/>
    <x v="14"/>
    <n v="17.5"/>
    <n v="297.5"/>
    <x v="55"/>
    <x v="52"/>
    <x v="1"/>
    <x v="1"/>
    <x v="1"/>
    <x v="0"/>
    <x v="13"/>
    <x v="3"/>
    <x v="8"/>
    <x v="1"/>
  </r>
  <r>
    <s v="TX501505"/>
    <x v="12"/>
    <x v="1"/>
    <n v="53.8"/>
    <n v="107.6"/>
    <x v="55"/>
    <x v="57"/>
    <x v="2"/>
    <x v="0"/>
    <x v="2"/>
    <x v="0"/>
    <x v="21"/>
    <x v="0"/>
    <x v="8"/>
    <x v="2"/>
  </r>
  <r>
    <s v="TX501506"/>
    <x v="19"/>
    <x v="1"/>
    <n v="17"/>
    <n v="34"/>
    <x v="55"/>
    <x v="52"/>
    <x v="1"/>
    <x v="3"/>
    <x v="0"/>
    <x v="0"/>
    <x v="21"/>
    <x v="3"/>
    <x v="8"/>
    <x v="1"/>
  </r>
  <r>
    <s v="TX501507"/>
    <x v="6"/>
    <x v="0"/>
    <n v="103.2"/>
    <n v="103.2"/>
    <x v="55"/>
    <x v="63"/>
    <x v="1"/>
    <x v="2"/>
    <x v="1"/>
    <x v="0"/>
    <x v="1"/>
    <x v="9"/>
    <x v="8"/>
    <x v="1"/>
  </r>
  <r>
    <s v="TX501508"/>
    <x v="6"/>
    <x v="12"/>
    <n v="70.3"/>
    <n v="281.2"/>
    <x v="55"/>
    <x v="52"/>
    <x v="1"/>
    <x v="0"/>
    <x v="0"/>
    <x v="0"/>
    <x v="3"/>
    <x v="3"/>
    <x v="8"/>
    <x v="1"/>
  </r>
  <r>
    <s v="TX501509"/>
    <x v="2"/>
    <x v="1"/>
    <n v="73.8"/>
    <n v="147.6"/>
    <x v="55"/>
    <x v="51"/>
    <x v="1"/>
    <x v="3"/>
    <x v="2"/>
    <x v="0"/>
    <x v="3"/>
    <x v="7"/>
    <x v="8"/>
    <x v="1"/>
  </r>
  <r>
    <s v="TX501510"/>
    <x v="1"/>
    <x v="4"/>
    <n v="67.7"/>
    <n v="812.40000000000009"/>
    <x v="55"/>
    <x v="59"/>
    <x v="1"/>
    <x v="1"/>
    <x v="1"/>
    <x v="0"/>
    <x v="3"/>
    <x v="5"/>
    <x v="8"/>
    <x v="1"/>
  </r>
  <r>
    <s v="TX501511"/>
    <x v="13"/>
    <x v="3"/>
    <n v="43.8"/>
    <n v="306.59999999999997"/>
    <x v="55"/>
    <x v="53"/>
    <x v="1"/>
    <x v="1"/>
    <x v="0"/>
    <x v="0"/>
    <x v="3"/>
    <x v="1"/>
    <x v="8"/>
    <x v="1"/>
  </r>
  <r>
    <s v="TX501512"/>
    <x v="17"/>
    <x v="13"/>
    <n v="71.900000000000006"/>
    <n v="431.40000000000003"/>
    <x v="55"/>
    <x v="52"/>
    <x v="2"/>
    <x v="2"/>
    <x v="0"/>
    <x v="0"/>
    <x v="3"/>
    <x v="3"/>
    <x v="8"/>
    <x v="2"/>
  </r>
  <r>
    <s v="TX501513"/>
    <x v="8"/>
    <x v="1"/>
    <n v="26.3"/>
    <n v="52.6"/>
    <x v="56"/>
    <x v="58"/>
    <x v="2"/>
    <x v="0"/>
    <x v="1"/>
    <x v="0"/>
    <x v="3"/>
    <x v="1"/>
    <x v="8"/>
    <x v="2"/>
  </r>
  <r>
    <s v="TX501514"/>
    <x v="6"/>
    <x v="12"/>
    <n v="52.6"/>
    <n v="210.4"/>
    <x v="56"/>
    <x v="58"/>
    <x v="2"/>
    <x v="2"/>
    <x v="1"/>
    <x v="0"/>
    <x v="3"/>
    <x v="1"/>
    <x v="8"/>
    <x v="2"/>
  </r>
  <r>
    <s v="TX501515"/>
    <x v="10"/>
    <x v="0"/>
    <n v="32.700000000000003"/>
    <n v="32.700000000000003"/>
    <x v="56"/>
    <x v="63"/>
    <x v="2"/>
    <x v="0"/>
    <x v="2"/>
    <x v="0"/>
    <x v="3"/>
    <x v="6"/>
    <x v="8"/>
    <x v="2"/>
  </r>
  <r>
    <s v="TX501516"/>
    <x v="5"/>
    <x v="12"/>
    <n v="38.9"/>
    <n v="155.6"/>
    <x v="56"/>
    <x v="53"/>
    <x v="2"/>
    <x v="0"/>
    <x v="0"/>
    <x v="0"/>
    <x v="3"/>
    <x v="3"/>
    <x v="8"/>
    <x v="2"/>
  </r>
  <r>
    <s v="TX501517"/>
    <x v="9"/>
    <x v="9"/>
    <n v="35"/>
    <n v="175"/>
    <x v="56"/>
    <x v="58"/>
    <x v="1"/>
    <x v="0"/>
    <x v="0"/>
    <x v="0"/>
    <x v="3"/>
    <x v="1"/>
    <x v="8"/>
    <x v="1"/>
  </r>
  <r>
    <s v="TX501518"/>
    <x v="2"/>
    <x v="1"/>
    <n v="121"/>
    <n v="242"/>
    <x v="56"/>
    <x v="53"/>
    <x v="2"/>
    <x v="1"/>
    <x v="1"/>
    <x v="0"/>
    <x v="3"/>
    <x v="3"/>
    <x v="8"/>
    <x v="2"/>
  </r>
  <r>
    <s v="TX501519"/>
    <x v="6"/>
    <x v="2"/>
    <n v="65.099999999999994"/>
    <n v="195.29999999999998"/>
    <x v="56"/>
    <x v="57"/>
    <x v="1"/>
    <x v="2"/>
    <x v="0"/>
    <x v="0"/>
    <x v="36"/>
    <x v="5"/>
    <x v="8"/>
    <x v="1"/>
  </r>
  <r>
    <s v="TX501520"/>
    <x v="1"/>
    <x v="38"/>
    <n v="63.8"/>
    <n v="1339.8"/>
    <x v="56"/>
    <x v="58"/>
    <x v="2"/>
    <x v="0"/>
    <x v="0"/>
    <x v="0"/>
    <x v="8"/>
    <x v="1"/>
    <x v="8"/>
    <x v="2"/>
  </r>
  <r>
    <s v="TX501521"/>
    <x v="7"/>
    <x v="0"/>
    <n v="77.7"/>
    <n v="77.7"/>
    <x v="56"/>
    <x v="58"/>
    <x v="1"/>
    <x v="0"/>
    <x v="0"/>
    <x v="0"/>
    <x v="8"/>
    <x v="1"/>
    <x v="8"/>
    <x v="1"/>
  </r>
  <r>
    <s v="TX501522"/>
    <x v="5"/>
    <x v="12"/>
    <n v="60.3"/>
    <n v="241.2"/>
    <x v="56"/>
    <x v="52"/>
    <x v="1"/>
    <x v="0"/>
    <x v="2"/>
    <x v="0"/>
    <x v="8"/>
    <x v="7"/>
    <x v="8"/>
    <x v="1"/>
  </r>
  <r>
    <s v="TX501523"/>
    <x v="5"/>
    <x v="1"/>
    <n v="124.1"/>
    <n v="248.2"/>
    <x v="56"/>
    <x v="59"/>
    <x v="2"/>
    <x v="0"/>
    <x v="2"/>
    <x v="0"/>
    <x v="8"/>
    <x v="2"/>
    <x v="8"/>
    <x v="2"/>
  </r>
  <r>
    <s v="TX501524"/>
    <x v="16"/>
    <x v="3"/>
    <n v="66"/>
    <n v="462"/>
    <x v="56"/>
    <x v="52"/>
    <x v="0"/>
    <x v="3"/>
    <x v="0"/>
    <x v="0"/>
    <x v="17"/>
    <x v="7"/>
    <x v="8"/>
    <x v="0"/>
  </r>
  <r>
    <s v="TX501525"/>
    <x v="2"/>
    <x v="42"/>
    <n v="118.2"/>
    <n v="7446.6"/>
    <x v="56"/>
    <x v="62"/>
    <x v="0"/>
    <x v="0"/>
    <x v="0"/>
    <x v="0"/>
    <x v="17"/>
    <x v="0"/>
    <x v="8"/>
    <x v="0"/>
  </r>
  <r>
    <s v="TX501526"/>
    <x v="5"/>
    <x v="9"/>
    <n v="64.3"/>
    <n v="321.5"/>
    <x v="56"/>
    <x v="53"/>
    <x v="1"/>
    <x v="4"/>
    <x v="4"/>
    <x v="0"/>
    <x v="26"/>
    <x v="3"/>
    <x v="8"/>
    <x v="1"/>
  </r>
  <r>
    <s v="TX501527"/>
    <x v="1"/>
    <x v="1"/>
    <n v="54.8"/>
    <n v="109.6"/>
    <x v="56"/>
    <x v="52"/>
    <x v="1"/>
    <x v="0"/>
    <x v="1"/>
    <x v="0"/>
    <x v="26"/>
    <x v="7"/>
    <x v="8"/>
    <x v="1"/>
  </r>
  <r>
    <s v="TX501528"/>
    <x v="7"/>
    <x v="1"/>
    <n v="78.599999999999994"/>
    <n v="157.19999999999999"/>
    <x v="56"/>
    <x v="53"/>
    <x v="1"/>
    <x v="0"/>
    <x v="2"/>
    <x v="0"/>
    <x v="9"/>
    <x v="3"/>
    <x v="8"/>
    <x v="1"/>
  </r>
  <r>
    <s v="TX501529"/>
    <x v="2"/>
    <x v="9"/>
    <n v="158.5"/>
    <n v="792.5"/>
    <x v="56"/>
    <x v="58"/>
    <x v="0"/>
    <x v="2"/>
    <x v="2"/>
    <x v="0"/>
    <x v="9"/>
    <x v="1"/>
    <x v="8"/>
    <x v="0"/>
  </r>
  <r>
    <s v="TX501530"/>
    <x v="4"/>
    <x v="7"/>
    <n v="23.5"/>
    <n v="235"/>
    <x v="56"/>
    <x v="59"/>
    <x v="1"/>
    <x v="0"/>
    <x v="4"/>
    <x v="0"/>
    <x v="10"/>
    <x v="2"/>
    <x v="8"/>
    <x v="1"/>
  </r>
  <r>
    <s v="TX501531"/>
    <x v="5"/>
    <x v="1"/>
    <n v="32.1"/>
    <n v="64.2"/>
    <x v="56"/>
    <x v="58"/>
    <x v="0"/>
    <x v="3"/>
    <x v="0"/>
    <x v="0"/>
    <x v="10"/>
    <x v="1"/>
    <x v="8"/>
    <x v="0"/>
  </r>
  <r>
    <s v="TX501532"/>
    <x v="17"/>
    <x v="12"/>
    <n v="71.900000000000006"/>
    <n v="287.60000000000002"/>
    <x v="56"/>
    <x v="52"/>
    <x v="1"/>
    <x v="2"/>
    <x v="0"/>
    <x v="0"/>
    <x v="19"/>
    <x v="7"/>
    <x v="8"/>
    <x v="1"/>
  </r>
  <r>
    <s v="TX501533"/>
    <x v="4"/>
    <x v="13"/>
    <n v="22.3"/>
    <n v="133.80000000000001"/>
    <x v="56"/>
    <x v="53"/>
    <x v="0"/>
    <x v="3"/>
    <x v="2"/>
    <x v="0"/>
    <x v="13"/>
    <x v="3"/>
    <x v="8"/>
    <x v="0"/>
  </r>
  <r>
    <s v="TX501534"/>
    <x v="11"/>
    <x v="1"/>
    <n v="29.5"/>
    <n v="59"/>
    <x v="56"/>
    <x v="53"/>
    <x v="2"/>
    <x v="0"/>
    <x v="2"/>
    <x v="0"/>
    <x v="13"/>
    <x v="3"/>
    <x v="8"/>
    <x v="2"/>
  </r>
  <r>
    <s v="TX501535"/>
    <x v="6"/>
    <x v="12"/>
    <n v="41.9"/>
    <n v="167.6"/>
    <x v="56"/>
    <x v="57"/>
    <x v="2"/>
    <x v="0"/>
    <x v="1"/>
    <x v="0"/>
    <x v="21"/>
    <x v="5"/>
    <x v="8"/>
    <x v="2"/>
  </r>
  <r>
    <s v="TX501536"/>
    <x v="6"/>
    <x v="2"/>
    <n v="107.8"/>
    <n v="323.39999999999998"/>
    <x v="56"/>
    <x v="53"/>
    <x v="1"/>
    <x v="1"/>
    <x v="2"/>
    <x v="0"/>
    <x v="46"/>
    <x v="3"/>
    <x v="8"/>
    <x v="1"/>
  </r>
  <r>
    <s v="TX501537"/>
    <x v="4"/>
    <x v="9"/>
    <n v="18.100000000000001"/>
    <n v="90.5"/>
    <x v="56"/>
    <x v="59"/>
    <x v="1"/>
    <x v="0"/>
    <x v="2"/>
    <x v="0"/>
    <x v="2"/>
    <x v="2"/>
    <x v="8"/>
    <x v="1"/>
  </r>
  <r>
    <s v="TX501538"/>
    <x v="12"/>
    <x v="11"/>
    <n v="79.8"/>
    <n v="718.19999999999993"/>
    <x v="56"/>
    <x v="53"/>
    <x v="2"/>
    <x v="1"/>
    <x v="1"/>
    <x v="0"/>
    <x v="22"/>
    <x v="3"/>
    <x v="8"/>
    <x v="2"/>
  </r>
  <r>
    <s v="TX501539"/>
    <x v="0"/>
    <x v="2"/>
    <n v="22.3"/>
    <n v="66.900000000000006"/>
    <x v="56"/>
    <x v="59"/>
    <x v="2"/>
    <x v="0"/>
    <x v="2"/>
    <x v="0"/>
    <x v="22"/>
    <x v="2"/>
    <x v="8"/>
    <x v="2"/>
  </r>
  <r>
    <s v="TX501540"/>
    <x v="8"/>
    <x v="0"/>
    <n v="22.9"/>
    <n v="22.9"/>
    <x v="56"/>
    <x v="52"/>
    <x v="2"/>
    <x v="1"/>
    <x v="0"/>
    <x v="0"/>
    <x v="22"/>
    <x v="7"/>
    <x v="8"/>
    <x v="2"/>
  </r>
  <r>
    <s v="TX501541"/>
    <x v="0"/>
    <x v="2"/>
    <n v="16.2"/>
    <n v="48.599999999999994"/>
    <x v="57"/>
    <x v="53"/>
    <x v="1"/>
    <x v="4"/>
    <x v="2"/>
    <x v="0"/>
    <x v="3"/>
    <x v="7"/>
    <x v="8"/>
    <x v="1"/>
  </r>
  <r>
    <s v="TX501542"/>
    <x v="10"/>
    <x v="12"/>
    <n v="59.5"/>
    <n v="238"/>
    <x v="57"/>
    <x v="58"/>
    <x v="1"/>
    <x v="1"/>
    <x v="2"/>
    <x v="0"/>
    <x v="3"/>
    <x v="3"/>
    <x v="8"/>
    <x v="1"/>
  </r>
  <r>
    <s v="TX501543"/>
    <x v="18"/>
    <x v="9"/>
    <n v="26.2"/>
    <n v="131"/>
    <x v="57"/>
    <x v="57"/>
    <x v="1"/>
    <x v="3"/>
    <x v="4"/>
    <x v="0"/>
    <x v="3"/>
    <x v="2"/>
    <x v="8"/>
    <x v="1"/>
  </r>
  <r>
    <s v="TX501544"/>
    <x v="3"/>
    <x v="0"/>
    <n v="44.2"/>
    <n v="44.2"/>
    <x v="57"/>
    <x v="57"/>
    <x v="2"/>
    <x v="1"/>
    <x v="0"/>
    <x v="0"/>
    <x v="3"/>
    <x v="2"/>
    <x v="8"/>
    <x v="2"/>
  </r>
  <r>
    <s v="TX501545"/>
    <x v="9"/>
    <x v="1"/>
    <n v="59.2"/>
    <n v="118.4"/>
    <x v="57"/>
    <x v="53"/>
    <x v="2"/>
    <x v="1"/>
    <x v="4"/>
    <x v="0"/>
    <x v="3"/>
    <x v="7"/>
    <x v="8"/>
    <x v="2"/>
  </r>
  <r>
    <s v="TX501546"/>
    <x v="15"/>
    <x v="12"/>
    <n v="41.5"/>
    <n v="166"/>
    <x v="57"/>
    <x v="59"/>
    <x v="2"/>
    <x v="0"/>
    <x v="0"/>
    <x v="0"/>
    <x v="16"/>
    <x v="1"/>
    <x v="8"/>
    <x v="2"/>
  </r>
  <r>
    <s v="TX501547"/>
    <x v="6"/>
    <x v="4"/>
    <n v="67.099999999999994"/>
    <n v="805.19999999999993"/>
    <x v="57"/>
    <x v="64"/>
    <x v="2"/>
    <x v="0"/>
    <x v="2"/>
    <x v="0"/>
    <x v="23"/>
    <x v="12"/>
    <x v="8"/>
    <x v="2"/>
  </r>
  <r>
    <s v="TX501548"/>
    <x v="8"/>
    <x v="1"/>
    <n v="28.7"/>
    <n v="57.4"/>
    <x v="57"/>
    <x v="62"/>
    <x v="2"/>
    <x v="1"/>
    <x v="0"/>
    <x v="0"/>
    <x v="6"/>
    <x v="5"/>
    <x v="8"/>
    <x v="2"/>
  </r>
  <r>
    <s v="TX501549"/>
    <x v="2"/>
    <x v="12"/>
    <n v="132.1"/>
    <n v="528.4"/>
    <x v="57"/>
    <x v="58"/>
    <x v="2"/>
    <x v="0"/>
    <x v="1"/>
    <x v="0"/>
    <x v="6"/>
    <x v="3"/>
    <x v="8"/>
    <x v="2"/>
  </r>
  <r>
    <s v="TX501550"/>
    <x v="18"/>
    <x v="1"/>
    <n v="47"/>
    <n v="94"/>
    <x v="57"/>
    <x v="59"/>
    <x v="1"/>
    <x v="4"/>
    <x v="0"/>
    <x v="0"/>
    <x v="8"/>
    <x v="1"/>
    <x v="8"/>
    <x v="1"/>
  </r>
  <r>
    <s v="TX501551"/>
    <x v="8"/>
    <x v="1"/>
    <n v="41.6"/>
    <n v="83.2"/>
    <x v="57"/>
    <x v="62"/>
    <x v="1"/>
    <x v="1"/>
    <x v="2"/>
    <x v="0"/>
    <x v="8"/>
    <x v="5"/>
    <x v="8"/>
    <x v="1"/>
  </r>
  <r>
    <s v="TX501552"/>
    <x v="8"/>
    <x v="43"/>
    <n v="17.3"/>
    <n v="657.4"/>
    <x v="57"/>
    <x v="59"/>
    <x v="1"/>
    <x v="2"/>
    <x v="2"/>
    <x v="0"/>
    <x v="8"/>
    <x v="1"/>
    <x v="8"/>
    <x v="1"/>
  </r>
  <r>
    <s v="TX501553"/>
    <x v="13"/>
    <x v="2"/>
    <n v="41.8"/>
    <n v="125.39999999999999"/>
    <x v="57"/>
    <x v="57"/>
    <x v="1"/>
    <x v="0"/>
    <x v="2"/>
    <x v="0"/>
    <x v="8"/>
    <x v="2"/>
    <x v="8"/>
    <x v="1"/>
  </r>
  <r>
    <s v="TX501554"/>
    <x v="10"/>
    <x v="0"/>
    <n v="24"/>
    <n v="24"/>
    <x v="57"/>
    <x v="58"/>
    <x v="2"/>
    <x v="0"/>
    <x v="0"/>
    <x v="0"/>
    <x v="17"/>
    <x v="3"/>
    <x v="8"/>
    <x v="2"/>
  </r>
  <r>
    <s v="TX501555"/>
    <x v="14"/>
    <x v="11"/>
    <n v="18.5"/>
    <n v="166.5"/>
    <x v="57"/>
    <x v="59"/>
    <x v="2"/>
    <x v="0"/>
    <x v="0"/>
    <x v="0"/>
    <x v="9"/>
    <x v="1"/>
    <x v="8"/>
    <x v="2"/>
  </r>
  <r>
    <s v="TX501556"/>
    <x v="3"/>
    <x v="4"/>
    <n v="66.7"/>
    <n v="800.40000000000009"/>
    <x v="57"/>
    <x v="57"/>
    <x v="0"/>
    <x v="0"/>
    <x v="2"/>
    <x v="0"/>
    <x v="11"/>
    <x v="2"/>
    <x v="8"/>
    <x v="0"/>
  </r>
  <r>
    <s v="TX501557"/>
    <x v="1"/>
    <x v="12"/>
    <n v="33.1"/>
    <n v="132.4"/>
    <x v="57"/>
    <x v="61"/>
    <x v="1"/>
    <x v="3"/>
    <x v="0"/>
    <x v="0"/>
    <x v="11"/>
    <x v="0"/>
    <x v="8"/>
    <x v="1"/>
  </r>
  <r>
    <s v="TX501558"/>
    <x v="19"/>
    <x v="11"/>
    <n v="42.1"/>
    <n v="378.90000000000003"/>
    <x v="57"/>
    <x v="65"/>
    <x v="1"/>
    <x v="1"/>
    <x v="0"/>
    <x v="0"/>
    <x v="18"/>
    <x v="11"/>
    <x v="8"/>
    <x v="1"/>
  </r>
  <r>
    <s v="TX501559"/>
    <x v="18"/>
    <x v="3"/>
    <n v="58.7"/>
    <n v="410.90000000000003"/>
    <x v="57"/>
    <x v="53"/>
    <x v="3"/>
    <x v="3"/>
    <x v="0"/>
    <x v="0"/>
    <x v="31"/>
    <x v="7"/>
    <x v="8"/>
    <x v="3"/>
  </r>
  <r>
    <s v="TX501560"/>
    <x v="6"/>
    <x v="12"/>
    <n v="54"/>
    <n v="216"/>
    <x v="57"/>
    <x v="59"/>
    <x v="2"/>
    <x v="1"/>
    <x v="0"/>
    <x v="0"/>
    <x v="1"/>
    <x v="1"/>
    <x v="8"/>
    <x v="2"/>
  </r>
  <r>
    <s v="TX501561"/>
    <x v="8"/>
    <x v="0"/>
    <n v="52.1"/>
    <n v="52.1"/>
    <x v="57"/>
    <x v="58"/>
    <x v="2"/>
    <x v="2"/>
    <x v="2"/>
    <x v="0"/>
    <x v="2"/>
    <x v="3"/>
    <x v="8"/>
    <x v="2"/>
  </r>
  <r>
    <s v="TX501562"/>
    <x v="19"/>
    <x v="1"/>
    <n v="27"/>
    <n v="54"/>
    <x v="57"/>
    <x v="57"/>
    <x v="3"/>
    <x v="2"/>
    <x v="0"/>
    <x v="0"/>
    <x v="22"/>
    <x v="2"/>
    <x v="8"/>
    <x v="3"/>
  </r>
  <r>
    <s v="TX501563"/>
    <x v="12"/>
    <x v="7"/>
    <n v="31"/>
    <n v="310"/>
    <x v="58"/>
    <x v="59"/>
    <x v="2"/>
    <x v="3"/>
    <x v="2"/>
    <x v="0"/>
    <x v="22"/>
    <x v="3"/>
    <x v="8"/>
    <x v="2"/>
  </r>
  <r>
    <s v="TX501564"/>
    <x v="10"/>
    <x v="1"/>
    <n v="46.7"/>
    <n v="93.4"/>
    <x v="58"/>
    <x v="58"/>
    <x v="2"/>
    <x v="0"/>
    <x v="0"/>
    <x v="0"/>
    <x v="34"/>
    <x v="7"/>
    <x v="8"/>
    <x v="2"/>
  </r>
  <r>
    <s v="TX501565"/>
    <x v="6"/>
    <x v="0"/>
    <n v="144.69999999999999"/>
    <n v="144.69999999999999"/>
    <x v="58"/>
    <x v="62"/>
    <x v="1"/>
    <x v="0"/>
    <x v="2"/>
    <x v="0"/>
    <x v="3"/>
    <x v="2"/>
    <x v="8"/>
    <x v="1"/>
  </r>
  <r>
    <s v="TX501566"/>
    <x v="2"/>
    <x v="11"/>
    <n v="90.9"/>
    <n v="818.1"/>
    <x v="58"/>
    <x v="59"/>
    <x v="1"/>
    <x v="0"/>
    <x v="2"/>
    <x v="0"/>
    <x v="3"/>
    <x v="3"/>
    <x v="8"/>
    <x v="1"/>
  </r>
  <r>
    <s v="TX501567"/>
    <x v="1"/>
    <x v="1"/>
    <n v="75.8"/>
    <n v="151.6"/>
    <x v="58"/>
    <x v="59"/>
    <x v="2"/>
    <x v="2"/>
    <x v="1"/>
    <x v="0"/>
    <x v="3"/>
    <x v="3"/>
    <x v="8"/>
    <x v="2"/>
  </r>
  <r>
    <s v="TX501568"/>
    <x v="7"/>
    <x v="9"/>
    <n v="57.9"/>
    <n v="289.5"/>
    <x v="58"/>
    <x v="57"/>
    <x v="1"/>
    <x v="2"/>
    <x v="2"/>
    <x v="0"/>
    <x v="3"/>
    <x v="1"/>
    <x v="8"/>
    <x v="1"/>
  </r>
  <r>
    <s v="TX501569"/>
    <x v="8"/>
    <x v="9"/>
    <n v="44.8"/>
    <n v="224"/>
    <x v="58"/>
    <x v="59"/>
    <x v="2"/>
    <x v="3"/>
    <x v="2"/>
    <x v="0"/>
    <x v="3"/>
    <x v="3"/>
    <x v="8"/>
    <x v="2"/>
  </r>
  <r>
    <s v="TX501570"/>
    <x v="9"/>
    <x v="2"/>
    <n v="44.2"/>
    <n v="132.60000000000002"/>
    <x v="58"/>
    <x v="61"/>
    <x v="1"/>
    <x v="2"/>
    <x v="2"/>
    <x v="0"/>
    <x v="3"/>
    <x v="5"/>
    <x v="8"/>
    <x v="1"/>
  </r>
  <r>
    <s v="TX501571"/>
    <x v="5"/>
    <x v="9"/>
    <n v="53.5"/>
    <n v="267.5"/>
    <x v="58"/>
    <x v="57"/>
    <x v="1"/>
    <x v="0"/>
    <x v="0"/>
    <x v="0"/>
    <x v="37"/>
    <x v="1"/>
    <x v="8"/>
    <x v="1"/>
  </r>
  <r>
    <s v="TX501572"/>
    <x v="6"/>
    <x v="1"/>
    <n v="72.2"/>
    <n v="144.4"/>
    <x v="58"/>
    <x v="59"/>
    <x v="1"/>
    <x v="0"/>
    <x v="2"/>
    <x v="0"/>
    <x v="25"/>
    <x v="3"/>
    <x v="8"/>
    <x v="1"/>
  </r>
  <r>
    <s v="TX501573"/>
    <x v="6"/>
    <x v="12"/>
    <n v="62.4"/>
    <n v="249.6"/>
    <x v="58"/>
    <x v="62"/>
    <x v="2"/>
    <x v="0"/>
    <x v="1"/>
    <x v="0"/>
    <x v="23"/>
    <x v="2"/>
    <x v="8"/>
    <x v="2"/>
  </r>
  <r>
    <s v="TX501574"/>
    <x v="10"/>
    <x v="9"/>
    <n v="24.7"/>
    <n v="123.5"/>
    <x v="58"/>
    <x v="59"/>
    <x v="2"/>
    <x v="0"/>
    <x v="0"/>
    <x v="0"/>
    <x v="6"/>
    <x v="3"/>
    <x v="8"/>
    <x v="2"/>
  </r>
  <r>
    <s v="TX501575"/>
    <x v="1"/>
    <x v="9"/>
    <n v="61.7"/>
    <n v="308.5"/>
    <x v="58"/>
    <x v="57"/>
    <x v="2"/>
    <x v="2"/>
    <x v="0"/>
    <x v="0"/>
    <x v="8"/>
    <x v="1"/>
    <x v="8"/>
    <x v="2"/>
  </r>
  <r>
    <s v="TX501576"/>
    <x v="8"/>
    <x v="9"/>
    <n v="18.2"/>
    <n v="91"/>
    <x v="58"/>
    <x v="57"/>
    <x v="2"/>
    <x v="3"/>
    <x v="0"/>
    <x v="0"/>
    <x v="8"/>
    <x v="1"/>
    <x v="8"/>
    <x v="2"/>
  </r>
  <r>
    <s v="TX501577"/>
    <x v="10"/>
    <x v="12"/>
    <n v="37.200000000000003"/>
    <n v="148.80000000000001"/>
    <x v="58"/>
    <x v="66"/>
    <x v="2"/>
    <x v="0"/>
    <x v="0"/>
    <x v="0"/>
    <x v="8"/>
    <x v="4"/>
    <x v="8"/>
    <x v="2"/>
  </r>
  <r>
    <s v="TX501578"/>
    <x v="9"/>
    <x v="2"/>
    <n v="53.5"/>
    <n v="160.5"/>
    <x v="58"/>
    <x v="57"/>
    <x v="2"/>
    <x v="1"/>
    <x v="2"/>
    <x v="0"/>
    <x v="9"/>
    <x v="1"/>
    <x v="8"/>
    <x v="2"/>
  </r>
  <r>
    <s v="TX501579"/>
    <x v="8"/>
    <x v="2"/>
    <n v="43.6"/>
    <n v="130.80000000000001"/>
    <x v="58"/>
    <x v="58"/>
    <x v="2"/>
    <x v="0"/>
    <x v="0"/>
    <x v="0"/>
    <x v="9"/>
    <x v="7"/>
    <x v="8"/>
    <x v="2"/>
  </r>
  <r>
    <s v="TX501580"/>
    <x v="1"/>
    <x v="7"/>
    <n v="135"/>
    <n v="1350"/>
    <x v="58"/>
    <x v="57"/>
    <x v="2"/>
    <x v="0"/>
    <x v="2"/>
    <x v="0"/>
    <x v="9"/>
    <x v="1"/>
    <x v="8"/>
    <x v="2"/>
  </r>
  <r>
    <s v="TX501581"/>
    <x v="8"/>
    <x v="9"/>
    <n v="38.5"/>
    <n v="192.5"/>
    <x v="58"/>
    <x v="58"/>
    <x v="1"/>
    <x v="4"/>
    <x v="2"/>
    <x v="0"/>
    <x v="10"/>
    <x v="7"/>
    <x v="8"/>
    <x v="1"/>
  </r>
  <r>
    <s v="TX501582"/>
    <x v="9"/>
    <x v="1"/>
    <n v="24"/>
    <n v="48"/>
    <x v="58"/>
    <x v="63"/>
    <x v="2"/>
    <x v="0"/>
    <x v="0"/>
    <x v="0"/>
    <x v="11"/>
    <x v="0"/>
    <x v="8"/>
    <x v="2"/>
  </r>
  <r>
    <s v="TX501583"/>
    <x v="4"/>
    <x v="2"/>
    <n v="28.2"/>
    <n v="84.6"/>
    <x v="58"/>
    <x v="57"/>
    <x v="1"/>
    <x v="0"/>
    <x v="3"/>
    <x v="0"/>
    <x v="18"/>
    <x v="1"/>
    <x v="8"/>
    <x v="1"/>
  </r>
  <r>
    <s v="TX501584"/>
    <x v="7"/>
    <x v="2"/>
    <n v="37.4"/>
    <n v="112.19999999999999"/>
    <x v="58"/>
    <x v="59"/>
    <x v="2"/>
    <x v="3"/>
    <x v="0"/>
    <x v="0"/>
    <x v="1"/>
    <x v="3"/>
    <x v="8"/>
    <x v="2"/>
  </r>
  <r>
    <s v="TX501585"/>
    <x v="6"/>
    <x v="2"/>
    <n v="53.5"/>
    <n v="160.5"/>
    <x v="58"/>
    <x v="62"/>
    <x v="0"/>
    <x v="4"/>
    <x v="4"/>
    <x v="0"/>
    <x v="1"/>
    <x v="2"/>
    <x v="8"/>
    <x v="0"/>
  </r>
  <r>
    <s v="TX501586"/>
    <x v="11"/>
    <x v="9"/>
    <n v="36.200000000000003"/>
    <n v="181"/>
    <x v="58"/>
    <x v="59"/>
    <x v="1"/>
    <x v="1"/>
    <x v="2"/>
    <x v="0"/>
    <x v="33"/>
    <x v="3"/>
    <x v="8"/>
    <x v="1"/>
  </r>
  <r>
    <s v="TX501587"/>
    <x v="0"/>
    <x v="8"/>
    <n v="31.9"/>
    <n v="255.2"/>
    <x v="58"/>
    <x v="59"/>
    <x v="2"/>
    <x v="4"/>
    <x v="0"/>
    <x v="0"/>
    <x v="3"/>
    <x v="3"/>
    <x v="8"/>
    <x v="2"/>
  </r>
  <r>
    <s v="TX501588"/>
    <x v="8"/>
    <x v="2"/>
    <n v="21.3"/>
    <n v="63.900000000000006"/>
    <x v="58"/>
    <x v="59"/>
    <x v="1"/>
    <x v="0"/>
    <x v="2"/>
    <x v="0"/>
    <x v="3"/>
    <x v="3"/>
    <x v="8"/>
    <x v="1"/>
  </r>
  <r>
    <s v="TX501589"/>
    <x v="8"/>
    <x v="0"/>
    <n v="36.299999999999997"/>
    <n v="36.299999999999997"/>
    <x v="58"/>
    <x v="57"/>
    <x v="3"/>
    <x v="4"/>
    <x v="0"/>
    <x v="0"/>
    <x v="3"/>
    <x v="1"/>
    <x v="8"/>
    <x v="3"/>
  </r>
  <r>
    <s v="TX501590"/>
    <x v="6"/>
    <x v="2"/>
    <n v="110.5"/>
    <n v="331.5"/>
    <x v="58"/>
    <x v="59"/>
    <x v="2"/>
    <x v="0"/>
    <x v="3"/>
    <x v="0"/>
    <x v="3"/>
    <x v="3"/>
    <x v="8"/>
    <x v="2"/>
  </r>
  <r>
    <s v="TX501591"/>
    <x v="10"/>
    <x v="3"/>
    <n v="32.6"/>
    <n v="228.20000000000002"/>
    <x v="58"/>
    <x v="57"/>
    <x v="2"/>
    <x v="0"/>
    <x v="1"/>
    <x v="0"/>
    <x v="3"/>
    <x v="1"/>
    <x v="8"/>
    <x v="2"/>
  </r>
  <r>
    <s v="TX501592"/>
    <x v="5"/>
    <x v="2"/>
    <n v="55.6"/>
    <n v="166.8"/>
    <x v="59"/>
    <x v="67"/>
    <x v="2"/>
    <x v="0"/>
    <x v="0"/>
    <x v="0"/>
    <x v="3"/>
    <x v="10"/>
    <x v="8"/>
    <x v="2"/>
  </r>
  <r>
    <s v="TX501593"/>
    <x v="1"/>
    <x v="12"/>
    <n v="38"/>
    <n v="152"/>
    <x v="59"/>
    <x v="57"/>
    <x v="2"/>
    <x v="3"/>
    <x v="2"/>
    <x v="0"/>
    <x v="5"/>
    <x v="3"/>
    <x v="8"/>
    <x v="2"/>
  </r>
  <r>
    <s v="TX501594"/>
    <x v="10"/>
    <x v="1"/>
    <n v="51.8"/>
    <n v="103.6"/>
    <x v="59"/>
    <x v="68"/>
    <x v="1"/>
    <x v="1"/>
    <x v="4"/>
    <x v="0"/>
    <x v="6"/>
    <x v="4"/>
    <x v="8"/>
    <x v="1"/>
  </r>
  <r>
    <s v="TX501595"/>
    <x v="11"/>
    <x v="8"/>
    <n v="28.7"/>
    <n v="229.6"/>
    <x v="59"/>
    <x v="66"/>
    <x v="2"/>
    <x v="0"/>
    <x v="0"/>
    <x v="0"/>
    <x v="6"/>
    <x v="0"/>
    <x v="8"/>
    <x v="2"/>
  </r>
  <r>
    <s v="TX501596"/>
    <x v="6"/>
    <x v="4"/>
    <n v="52.2"/>
    <n v="626.40000000000009"/>
    <x v="59"/>
    <x v="59"/>
    <x v="1"/>
    <x v="0"/>
    <x v="1"/>
    <x v="0"/>
    <x v="6"/>
    <x v="7"/>
    <x v="8"/>
    <x v="1"/>
  </r>
  <r>
    <s v="TX501597"/>
    <x v="1"/>
    <x v="1"/>
    <n v="68.2"/>
    <n v="136.4"/>
    <x v="59"/>
    <x v="57"/>
    <x v="0"/>
    <x v="2"/>
    <x v="0"/>
    <x v="0"/>
    <x v="7"/>
    <x v="3"/>
    <x v="8"/>
    <x v="0"/>
  </r>
  <r>
    <s v="TX501598"/>
    <x v="0"/>
    <x v="2"/>
    <n v="34"/>
    <n v="102"/>
    <x v="59"/>
    <x v="63"/>
    <x v="2"/>
    <x v="0"/>
    <x v="0"/>
    <x v="0"/>
    <x v="8"/>
    <x v="5"/>
    <x v="8"/>
    <x v="2"/>
  </r>
  <r>
    <s v="TX501599"/>
    <x v="8"/>
    <x v="2"/>
    <n v="19.100000000000001"/>
    <n v="57.300000000000004"/>
    <x v="59"/>
    <x v="57"/>
    <x v="2"/>
    <x v="4"/>
    <x v="0"/>
    <x v="0"/>
    <x v="8"/>
    <x v="3"/>
    <x v="8"/>
    <x v="2"/>
  </r>
  <r>
    <s v="TX501600"/>
    <x v="5"/>
    <x v="8"/>
    <n v="34"/>
    <n v="272"/>
    <x v="59"/>
    <x v="60"/>
    <x v="2"/>
    <x v="4"/>
    <x v="0"/>
    <x v="0"/>
    <x v="8"/>
    <x v="9"/>
    <x v="8"/>
    <x v="2"/>
  </r>
  <r>
    <s v="TX501601"/>
    <x v="12"/>
    <x v="1"/>
    <n v="109.1"/>
    <n v="218.2"/>
    <x v="59"/>
    <x v="62"/>
    <x v="1"/>
    <x v="0"/>
    <x v="2"/>
    <x v="0"/>
    <x v="8"/>
    <x v="1"/>
    <x v="8"/>
    <x v="1"/>
  </r>
  <r>
    <s v="TX501602"/>
    <x v="18"/>
    <x v="1"/>
    <n v="64.8"/>
    <n v="129.6"/>
    <x v="59"/>
    <x v="62"/>
    <x v="1"/>
    <x v="0"/>
    <x v="2"/>
    <x v="0"/>
    <x v="8"/>
    <x v="1"/>
    <x v="8"/>
    <x v="1"/>
  </r>
  <r>
    <s v="TX501603"/>
    <x v="10"/>
    <x v="1"/>
    <n v="21.1"/>
    <n v="42.2"/>
    <x v="59"/>
    <x v="59"/>
    <x v="2"/>
    <x v="1"/>
    <x v="0"/>
    <x v="0"/>
    <x v="11"/>
    <x v="7"/>
    <x v="8"/>
    <x v="2"/>
  </r>
  <r>
    <s v="TX501604"/>
    <x v="0"/>
    <x v="8"/>
    <n v="21.3"/>
    <n v="170.4"/>
    <x v="59"/>
    <x v="62"/>
    <x v="1"/>
    <x v="3"/>
    <x v="1"/>
    <x v="0"/>
    <x v="18"/>
    <x v="1"/>
    <x v="8"/>
    <x v="1"/>
  </r>
  <r>
    <s v="TX501605"/>
    <x v="9"/>
    <x v="2"/>
    <n v="24.3"/>
    <n v="72.900000000000006"/>
    <x v="59"/>
    <x v="57"/>
    <x v="1"/>
    <x v="1"/>
    <x v="0"/>
    <x v="0"/>
    <x v="19"/>
    <x v="3"/>
    <x v="8"/>
    <x v="1"/>
  </r>
  <r>
    <s v="TX501606"/>
    <x v="8"/>
    <x v="0"/>
    <n v="43.3"/>
    <n v="43.3"/>
    <x v="59"/>
    <x v="63"/>
    <x v="1"/>
    <x v="1"/>
    <x v="1"/>
    <x v="0"/>
    <x v="13"/>
    <x v="5"/>
    <x v="8"/>
    <x v="1"/>
  </r>
  <r>
    <s v="TX501607"/>
    <x v="9"/>
    <x v="2"/>
    <n v="41"/>
    <n v="123"/>
    <x v="59"/>
    <x v="57"/>
    <x v="2"/>
    <x v="3"/>
    <x v="4"/>
    <x v="0"/>
    <x v="21"/>
    <x v="3"/>
    <x v="8"/>
    <x v="2"/>
  </r>
  <r>
    <s v="TX501608"/>
    <x v="16"/>
    <x v="2"/>
    <n v="54.1"/>
    <n v="162.30000000000001"/>
    <x v="59"/>
    <x v="62"/>
    <x v="2"/>
    <x v="4"/>
    <x v="0"/>
    <x v="0"/>
    <x v="21"/>
    <x v="1"/>
    <x v="8"/>
    <x v="2"/>
  </r>
  <r>
    <s v="TX501609"/>
    <x v="11"/>
    <x v="1"/>
    <n v="39"/>
    <n v="78"/>
    <x v="59"/>
    <x v="57"/>
    <x v="1"/>
    <x v="1"/>
    <x v="2"/>
    <x v="0"/>
    <x v="1"/>
    <x v="3"/>
    <x v="8"/>
    <x v="1"/>
  </r>
  <r>
    <s v="TX501610"/>
    <x v="8"/>
    <x v="1"/>
    <n v="40.299999999999997"/>
    <n v="80.599999999999994"/>
    <x v="59"/>
    <x v="62"/>
    <x v="1"/>
    <x v="3"/>
    <x v="0"/>
    <x v="0"/>
    <x v="27"/>
    <x v="1"/>
    <x v="8"/>
    <x v="1"/>
  </r>
  <r>
    <s v="TX501611"/>
    <x v="8"/>
    <x v="2"/>
    <n v="24.1"/>
    <n v="72.300000000000011"/>
    <x v="59"/>
    <x v="57"/>
    <x v="1"/>
    <x v="0"/>
    <x v="2"/>
    <x v="0"/>
    <x v="34"/>
    <x v="3"/>
    <x v="8"/>
    <x v="1"/>
  </r>
  <r>
    <s v="TX501612"/>
    <x v="6"/>
    <x v="9"/>
    <n v="52.3"/>
    <n v="261.5"/>
    <x v="59"/>
    <x v="57"/>
    <x v="1"/>
    <x v="2"/>
    <x v="0"/>
    <x v="0"/>
    <x v="3"/>
    <x v="3"/>
    <x v="8"/>
    <x v="1"/>
  </r>
  <r>
    <s v="TX501613"/>
    <x v="12"/>
    <x v="12"/>
    <n v="68.8"/>
    <n v="275.2"/>
    <x v="59"/>
    <x v="63"/>
    <x v="2"/>
    <x v="4"/>
    <x v="2"/>
    <x v="0"/>
    <x v="3"/>
    <x v="5"/>
    <x v="8"/>
    <x v="2"/>
  </r>
  <r>
    <s v="TX501614"/>
    <x v="2"/>
    <x v="1"/>
    <n v="128.80000000000001"/>
    <n v="257.60000000000002"/>
    <x v="60"/>
    <x v="63"/>
    <x v="2"/>
    <x v="1"/>
    <x v="1"/>
    <x v="0"/>
    <x v="3"/>
    <x v="2"/>
    <x v="9"/>
    <x v="2"/>
  </r>
  <r>
    <s v="TX501615"/>
    <x v="15"/>
    <x v="9"/>
    <n v="48.2"/>
    <n v="241"/>
    <x v="60"/>
    <x v="61"/>
    <x v="2"/>
    <x v="3"/>
    <x v="0"/>
    <x v="0"/>
    <x v="3"/>
    <x v="1"/>
    <x v="9"/>
    <x v="2"/>
  </r>
  <r>
    <s v="TX501616"/>
    <x v="10"/>
    <x v="0"/>
    <n v="39.700000000000003"/>
    <n v="39.700000000000003"/>
    <x v="60"/>
    <x v="61"/>
    <x v="2"/>
    <x v="0"/>
    <x v="1"/>
    <x v="0"/>
    <x v="3"/>
    <x v="1"/>
    <x v="9"/>
    <x v="2"/>
  </r>
  <r>
    <s v="TX501617"/>
    <x v="9"/>
    <x v="0"/>
    <n v="59.7"/>
    <n v="59.7"/>
    <x v="60"/>
    <x v="63"/>
    <x v="2"/>
    <x v="4"/>
    <x v="0"/>
    <x v="0"/>
    <x v="3"/>
    <x v="2"/>
    <x v="9"/>
    <x v="2"/>
  </r>
  <r>
    <s v="TX501618"/>
    <x v="6"/>
    <x v="0"/>
    <n v="48.3"/>
    <n v="48.3"/>
    <x v="60"/>
    <x v="69"/>
    <x v="3"/>
    <x v="0"/>
    <x v="2"/>
    <x v="0"/>
    <x v="3"/>
    <x v="12"/>
    <x v="9"/>
    <x v="3"/>
  </r>
  <r>
    <s v="TX501619"/>
    <x v="8"/>
    <x v="2"/>
    <n v="45.5"/>
    <n v="136.5"/>
    <x v="60"/>
    <x v="61"/>
    <x v="1"/>
    <x v="2"/>
    <x v="1"/>
    <x v="0"/>
    <x v="3"/>
    <x v="1"/>
    <x v="9"/>
    <x v="1"/>
  </r>
  <r>
    <s v="TX501620"/>
    <x v="9"/>
    <x v="6"/>
    <n v="51"/>
    <n v="1377"/>
    <x v="60"/>
    <x v="57"/>
    <x v="2"/>
    <x v="2"/>
    <x v="0"/>
    <x v="0"/>
    <x v="3"/>
    <x v="7"/>
    <x v="9"/>
    <x v="2"/>
  </r>
  <r>
    <s v="TX501621"/>
    <x v="4"/>
    <x v="13"/>
    <n v="20.399999999999999"/>
    <n v="122.39999999999999"/>
    <x v="60"/>
    <x v="62"/>
    <x v="1"/>
    <x v="2"/>
    <x v="0"/>
    <x v="0"/>
    <x v="3"/>
    <x v="3"/>
    <x v="9"/>
    <x v="1"/>
  </r>
  <r>
    <s v="TX501622"/>
    <x v="10"/>
    <x v="1"/>
    <n v="30.4"/>
    <n v="60.8"/>
    <x v="60"/>
    <x v="61"/>
    <x v="1"/>
    <x v="2"/>
    <x v="0"/>
    <x v="0"/>
    <x v="3"/>
    <x v="1"/>
    <x v="9"/>
    <x v="1"/>
  </r>
  <r>
    <s v="TX501623"/>
    <x v="7"/>
    <x v="1"/>
    <n v="71.5"/>
    <n v="143"/>
    <x v="60"/>
    <x v="66"/>
    <x v="2"/>
    <x v="0"/>
    <x v="0"/>
    <x v="0"/>
    <x v="3"/>
    <x v="5"/>
    <x v="9"/>
    <x v="2"/>
  </r>
  <r>
    <s v="TX501624"/>
    <x v="8"/>
    <x v="13"/>
    <n v="18"/>
    <n v="108"/>
    <x v="60"/>
    <x v="62"/>
    <x v="3"/>
    <x v="1"/>
    <x v="2"/>
    <x v="0"/>
    <x v="6"/>
    <x v="3"/>
    <x v="9"/>
    <x v="3"/>
  </r>
  <r>
    <s v="TX501625"/>
    <x v="15"/>
    <x v="5"/>
    <n v="45.6"/>
    <n v="501.6"/>
    <x v="60"/>
    <x v="62"/>
    <x v="3"/>
    <x v="1"/>
    <x v="1"/>
    <x v="0"/>
    <x v="7"/>
    <x v="3"/>
    <x v="9"/>
    <x v="3"/>
  </r>
  <r>
    <s v="TX501626"/>
    <x v="9"/>
    <x v="0"/>
    <n v="31.8"/>
    <n v="31.8"/>
    <x v="60"/>
    <x v="66"/>
    <x v="2"/>
    <x v="0"/>
    <x v="2"/>
    <x v="0"/>
    <x v="7"/>
    <x v="5"/>
    <x v="9"/>
    <x v="2"/>
  </r>
  <r>
    <s v="TX501627"/>
    <x v="8"/>
    <x v="9"/>
    <n v="19.899999999999999"/>
    <n v="99.5"/>
    <x v="60"/>
    <x v="62"/>
    <x v="2"/>
    <x v="1"/>
    <x v="0"/>
    <x v="0"/>
    <x v="7"/>
    <x v="3"/>
    <x v="9"/>
    <x v="2"/>
  </r>
  <r>
    <s v="TX501628"/>
    <x v="12"/>
    <x v="11"/>
    <n v="52.1"/>
    <n v="468.90000000000003"/>
    <x v="60"/>
    <x v="61"/>
    <x v="1"/>
    <x v="0"/>
    <x v="0"/>
    <x v="0"/>
    <x v="8"/>
    <x v="1"/>
    <x v="9"/>
    <x v="1"/>
  </r>
  <r>
    <s v="TX501629"/>
    <x v="1"/>
    <x v="3"/>
    <n v="45.9"/>
    <n v="321.3"/>
    <x v="60"/>
    <x v="62"/>
    <x v="1"/>
    <x v="0"/>
    <x v="1"/>
    <x v="0"/>
    <x v="8"/>
    <x v="3"/>
    <x v="9"/>
    <x v="1"/>
  </r>
  <r>
    <s v="TX501630"/>
    <x v="1"/>
    <x v="7"/>
    <n v="115.9"/>
    <n v="1159"/>
    <x v="60"/>
    <x v="63"/>
    <x v="2"/>
    <x v="1"/>
    <x v="0"/>
    <x v="0"/>
    <x v="8"/>
    <x v="2"/>
    <x v="9"/>
    <x v="2"/>
  </r>
  <r>
    <s v="TX501631"/>
    <x v="6"/>
    <x v="11"/>
    <n v="86"/>
    <n v="774"/>
    <x v="60"/>
    <x v="68"/>
    <x v="2"/>
    <x v="0"/>
    <x v="1"/>
    <x v="0"/>
    <x v="8"/>
    <x v="0"/>
    <x v="9"/>
    <x v="2"/>
  </r>
  <r>
    <s v="TX501632"/>
    <x v="7"/>
    <x v="3"/>
    <n v="73.599999999999994"/>
    <n v="515.19999999999993"/>
    <x v="60"/>
    <x v="61"/>
    <x v="2"/>
    <x v="0"/>
    <x v="0"/>
    <x v="0"/>
    <x v="17"/>
    <x v="1"/>
    <x v="9"/>
    <x v="2"/>
  </r>
  <r>
    <s v="TX501633"/>
    <x v="10"/>
    <x v="2"/>
    <n v="26.7"/>
    <n v="80.099999999999994"/>
    <x v="60"/>
    <x v="66"/>
    <x v="2"/>
    <x v="0"/>
    <x v="0"/>
    <x v="0"/>
    <x v="11"/>
    <x v="5"/>
    <x v="9"/>
    <x v="2"/>
  </r>
  <r>
    <s v="TX501634"/>
    <x v="8"/>
    <x v="3"/>
    <n v="46.6"/>
    <n v="326.2"/>
    <x v="60"/>
    <x v="61"/>
    <x v="0"/>
    <x v="3"/>
    <x v="0"/>
    <x v="0"/>
    <x v="11"/>
    <x v="1"/>
    <x v="9"/>
    <x v="0"/>
  </r>
  <r>
    <s v="TX501635"/>
    <x v="3"/>
    <x v="2"/>
    <n v="84.6"/>
    <n v="253.79999999999998"/>
    <x v="60"/>
    <x v="61"/>
    <x v="1"/>
    <x v="4"/>
    <x v="0"/>
    <x v="0"/>
    <x v="11"/>
    <x v="1"/>
    <x v="9"/>
    <x v="1"/>
  </r>
  <r>
    <s v="TX501636"/>
    <x v="7"/>
    <x v="21"/>
    <n v="41.5"/>
    <n v="581"/>
    <x v="60"/>
    <x v="69"/>
    <x v="1"/>
    <x v="1"/>
    <x v="0"/>
    <x v="0"/>
    <x v="53"/>
    <x v="12"/>
    <x v="9"/>
    <x v="1"/>
  </r>
  <r>
    <s v="TX501637"/>
    <x v="8"/>
    <x v="0"/>
    <n v="32.799999999999997"/>
    <n v="32.799999999999997"/>
    <x v="60"/>
    <x v="63"/>
    <x v="1"/>
    <x v="0"/>
    <x v="2"/>
    <x v="0"/>
    <x v="30"/>
    <x v="2"/>
    <x v="9"/>
    <x v="1"/>
  </r>
  <r>
    <s v="TX501638"/>
    <x v="4"/>
    <x v="3"/>
    <n v="46.7"/>
    <n v="326.90000000000003"/>
    <x v="60"/>
    <x v="61"/>
    <x v="3"/>
    <x v="0"/>
    <x v="2"/>
    <x v="0"/>
    <x v="18"/>
    <x v="1"/>
    <x v="9"/>
    <x v="3"/>
  </r>
  <r>
    <s v="TX501639"/>
    <x v="15"/>
    <x v="3"/>
    <n v="21"/>
    <n v="147"/>
    <x v="60"/>
    <x v="63"/>
    <x v="1"/>
    <x v="2"/>
    <x v="1"/>
    <x v="0"/>
    <x v="21"/>
    <x v="2"/>
    <x v="9"/>
    <x v="1"/>
  </r>
  <r>
    <s v="TX501640"/>
    <x v="5"/>
    <x v="3"/>
    <n v="29.4"/>
    <n v="205.79999999999998"/>
    <x v="60"/>
    <x v="57"/>
    <x v="1"/>
    <x v="3"/>
    <x v="2"/>
    <x v="0"/>
    <x v="21"/>
    <x v="7"/>
    <x v="9"/>
    <x v="1"/>
  </r>
  <r>
    <s v="TX501641"/>
    <x v="15"/>
    <x v="1"/>
    <n v="32.299999999999997"/>
    <n v="64.599999999999994"/>
    <x v="60"/>
    <x v="62"/>
    <x v="1"/>
    <x v="0"/>
    <x v="2"/>
    <x v="0"/>
    <x v="21"/>
    <x v="3"/>
    <x v="9"/>
    <x v="1"/>
  </r>
  <r>
    <s v="TX501642"/>
    <x v="6"/>
    <x v="0"/>
    <n v="42.2"/>
    <n v="42.2"/>
    <x v="61"/>
    <x v="63"/>
    <x v="2"/>
    <x v="0"/>
    <x v="2"/>
    <x v="0"/>
    <x v="21"/>
    <x v="1"/>
    <x v="9"/>
    <x v="2"/>
  </r>
  <r>
    <s v="TX501643"/>
    <x v="6"/>
    <x v="0"/>
    <n v="53.7"/>
    <n v="53.7"/>
    <x v="61"/>
    <x v="63"/>
    <x v="1"/>
    <x v="1"/>
    <x v="1"/>
    <x v="0"/>
    <x v="1"/>
    <x v="1"/>
    <x v="9"/>
    <x v="1"/>
  </r>
  <r>
    <s v="TX501644"/>
    <x v="2"/>
    <x v="1"/>
    <n v="123.9"/>
    <n v="247.8"/>
    <x v="61"/>
    <x v="66"/>
    <x v="1"/>
    <x v="2"/>
    <x v="0"/>
    <x v="0"/>
    <x v="1"/>
    <x v="2"/>
    <x v="9"/>
    <x v="1"/>
  </r>
  <r>
    <s v="TX501645"/>
    <x v="4"/>
    <x v="2"/>
    <n v="35.9"/>
    <n v="107.69999999999999"/>
    <x v="61"/>
    <x v="63"/>
    <x v="1"/>
    <x v="2"/>
    <x v="0"/>
    <x v="0"/>
    <x v="22"/>
    <x v="1"/>
    <x v="9"/>
    <x v="1"/>
  </r>
  <r>
    <s v="TX501646"/>
    <x v="4"/>
    <x v="1"/>
    <n v="23.6"/>
    <n v="47.2"/>
    <x v="61"/>
    <x v="66"/>
    <x v="1"/>
    <x v="0"/>
    <x v="2"/>
    <x v="0"/>
    <x v="3"/>
    <x v="2"/>
    <x v="9"/>
    <x v="1"/>
  </r>
  <r>
    <s v="TX501647"/>
    <x v="15"/>
    <x v="36"/>
    <n v="45.7"/>
    <n v="1599.5"/>
    <x v="61"/>
    <x v="61"/>
    <x v="1"/>
    <x v="0"/>
    <x v="1"/>
    <x v="0"/>
    <x v="3"/>
    <x v="3"/>
    <x v="9"/>
    <x v="1"/>
  </r>
  <r>
    <s v="TX501648"/>
    <x v="6"/>
    <x v="5"/>
    <n v="118.3"/>
    <n v="1301.3"/>
    <x v="61"/>
    <x v="63"/>
    <x v="1"/>
    <x v="4"/>
    <x v="2"/>
    <x v="0"/>
    <x v="3"/>
    <x v="1"/>
    <x v="9"/>
    <x v="1"/>
  </r>
  <r>
    <s v="TX501649"/>
    <x v="19"/>
    <x v="0"/>
    <n v="36"/>
    <n v="36"/>
    <x v="61"/>
    <x v="61"/>
    <x v="2"/>
    <x v="0"/>
    <x v="1"/>
    <x v="0"/>
    <x v="3"/>
    <x v="3"/>
    <x v="9"/>
    <x v="2"/>
  </r>
  <r>
    <s v="TX501650"/>
    <x v="8"/>
    <x v="1"/>
    <n v="37.1"/>
    <n v="74.2"/>
    <x v="61"/>
    <x v="66"/>
    <x v="2"/>
    <x v="2"/>
    <x v="0"/>
    <x v="0"/>
    <x v="3"/>
    <x v="2"/>
    <x v="9"/>
    <x v="2"/>
  </r>
  <r>
    <s v="TX501651"/>
    <x v="18"/>
    <x v="2"/>
    <n v="45.1"/>
    <n v="135.30000000000001"/>
    <x v="61"/>
    <x v="63"/>
    <x v="2"/>
    <x v="1"/>
    <x v="2"/>
    <x v="0"/>
    <x v="3"/>
    <x v="1"/>
    <x v="9"/>
    <x v="2"/>
  </r>
  <r>
    <s v="TX501652"/>
    <x v="5"/>
    <x v="27"/>
    <n v="37.9"/>
    <n v="606.4"/>
    <x v="61"/>
    <x v="61"/>
    <x v="2"/>
    <x v="3"/>
    <x v="2"/>
    <x v="0"/>
    <x v="3"/>
    <x v="3"/>
    <x v="9"/>
    <x v="2"/>
  </r>
  <r>
    <s v="TX501653"/>
    <x v="2"/>
    <x v="1"/>
    <n v="121.6"/>
    <n v="243.2"/>
    <x v="61"/>
    <x v="66"/>
    <x v="1"/>
    <x v="3"/>
    <x v="2"/>
    <x v="0"/>
    <x v="3"/>
    <x v="2"/>
    <x v="9"/>
    <x v="1"/>
  </r>
  <r>
    <s v="TX501654"/>
    <x v="5"/>
    <x v="3"/>
    <n v="38.200000000000003"/>
    <n v="267.40000000000003"/>
    <x v="61"/>
    <x v="66"/>
    <x v="2"/>
    <x v="0"/>
    <x v="0"/>
    <x v="0"/>
    <x v="3"/>
    <x v="2"/>
    <x v="9"/>
    <x v="2"/>
  </r>
  <r>
    <s v="TX501655"/>
    <x v="17"/>
    <x v="1"/>
    <n v="37.200000000000003"/>
    <n v="74.400000000000006"/>
    <x v="61"/>
    <x v="66"/>
    <x v="1"/>
    <x v="4"/>
    <x v="0"/>
    <x v="0"/>
    <x v="3"/>
    <x v="2"/>
    <x v="9"/>
    <x v="1"/>
  </r>
  <r>
    <s v="TX501656"/>
    <x v="2"/>
    <x v="12"/>
    <n v="115.7"/>
    <n v="462.8"/>
    <x v="61"/>
    <x v="66"/>
    <x v="2"/>
    <x v="1"/>
    <x v="0"/>
    <x v="0"/>
    <x v="3"/>
    <x v="2"/>
    <x v="9"/>
    <x v="2"/>
  </r>
  <r>
    <s v="TX501657"/>
    <x v="2"/>
    <x v="13"/>
    <n v="99.4"/>
    <n v="596.40000000000009"/>
    <x v="61"/>
    <x v="66"/>
    <x v="1"/>
    <x v="0"/>
    <x v="2"/>
    <x v="0"/>
    <x v="3"/>
    <x v="2"/>
    <x v="9"/>
    <x v="1"/>
  </r>
  <r>
    <s v="TX501658"/>
    <x v="11"/>
    <x v="0"/>
    <n v="38.700000000000003"/>
    <n v="38.700000000000003"/>
    <x v="61"/>
    <x v="61"/>
    <x v="2"/>
    <x v="2"/>
    <x v="0"/>
    <x v="0"/>
    <x v="25"/>
    <x v="3"/>
    <x v="9"/>
    <x v="2"/>
  </r>
  <r>
    <s v="TX501659"/>
    <x v="4"/>
    <x v="1"/>
    <n v="35.5"/>
    <n v="71"/>
    <x v="61"/>
    <x v="66"/>
    <x v="1"/>
    <x v="0"/>
    <x v="2"/>
    <x v="0"/>
    <x v="25"/>
    <x v="2"/>
    <x v="9"/>
    <x v="1"/>
  </r>
  <r>
    <s v="TX501660"/>
    <x v="2"/>
    <x v="12"/>
    <n v="93.3"/>
    <n v="373.2"/>
    <x v="61"/>
    <x v="66"/>
    <x v="2"/>
    <x v="0"/>
    <x v="2"/>
    <x v="0"/>
    <x v="6"/>
    <x v="2"/>
    <x v="9"/>
    <x v="2"/>
  </r>
  <r>
    <s v="TX501661"/>
    <x v="16"/>
    <x v="0"/>
    <n v="31.4"/>
    <n v="31.4"/>
    <x v="61"/>
    <x v="70"/>
    <x v="2"/>
    <x v="2"/>
    <x v="2"/>
    <x v="0"/>
    <x v="6"/>
    <x v="0"/>
    <x v="9"/>
    <x v="2"/>
  </r>
  <r>
    <s v="TX501662"/>
    <x v="1"/>
    <x v="0"/>
    <n v="85.9"/>
    <n v="85.9"/>
    <x v="61"/>
    <x v="66"/>
    <x v="1"/>
    <x v="1"/>
    <x v="0"/>
    <x v="0"/>
    <x v="6"/>
    <x v="2"/>
    <x v="9"/>
    <x v="1"/>
  </r>
  <r>
    <s v="TX501663"/>
    <x v="6"/>
    <x v="8"/>
    <n v="41.7"/>
    <n v="333.6"/>
    <x v="61"/>
    <x v="71"/>
    <x v="1"/>
    <x v="0"/>
    <x v="2"/>
    <x v="0"/>
    <x v="7"/>
    <x v="9"/>
    <x v="9"/>
    <x v="1"/>
  </r>
  <r>
    <s v="TX501664"/>
    <x v="8"/>
    <x v="12"/>
    <n v="31.5"/>
    <n v="126"/>
    <x v="61"/>
    <x v="61"/>
    <x v="2"/>
    <x v="0"/>
    <x v="0"/>
    <x v="0"/>
    <x v="7"/>
    <x v="3"/>
    <x v="9"/>
    <x v="2"/>
  </r>
  <r>
    <s v="TX501665"/>
    <x v="8"/>
    <x v="1"/>
    <n v="36.299999999999997"/>
    <n v="72.599999999999994"/>
    <x v="61"/>
    <x v="61"/>
    <x v="2"/>
    <x v="0"/>
    <x v="4"/>
    <x v="0"/>
    <x v="8"/>
    <x v="3"/>
    <x v="9"/>
    <x v="2"/>
  </r>
  <r>
    <s v="TX501666"/>
    <x v="8"/>
    <x v="2"/>
    <n v="33.4"/>
    <n v="100.19999999999999"/>
    <x v="61"/>
    <x v="61"/>
    <x v="2"/>
    <x v="3"/>
    <x v="0"/>
    <x v="0"/>
    <x v="17"/>
    <x v="3"/>
    <x v="9"/>
    <x v="2"/>
  </r>
  <r>
    <s v="TX501667"/>
    <x v="2"/>
    <x v="2"/>
    <n v="65.2"/>
    <n v="195.60000000000002"/>
    <x v="61"/>
    <x v="61"/>
    <x v="2"/>
    <x v="2"/>
    <x v="2"/>
    <x v="0"/>
    <x v="26"/>
    <x v="3"/>
    <x v="9"/>
    <x v="2"/>
  </r>
  <r>
    <s v="TX501668"/>
    <x v="8"/>
    <x v="11"/>
    <n v="65.5"/>
    <n v="589.5"/>
    <x v="61"/>
    <x v="66"/>
    <x v="2"/>
    <x v="0"/>
    <x v="2"/>
    <x v="0"/>
    <x v="9"/>
    <x v="2"/>
    <x v="9"/>
    <x v="2"/>
  </r>
  <r>
    <s v="TX501669"/>
    <x v="6"/>
    <x v="2"/>
    <n v="52.8"/>
    <n v="158.39999999999998"/>
    <x v="61"/>
    <x v="66"/>
    <x v="1"/>
    <x v="2"/>
    <x v="0"/>
    <x v="0"/>
    <x v="9"/>
    <x v="2"/>
    <x v="9"/>
    <x v="1"/>
  </r>
  <r>
    <s v="TX501670"/>
    <x v="9"/>
    <x v="9"/>
    <n v="24"/>
    <n v="120"/>
    <x v="61"/>
    <x v="68"/>
    <x v="1"/>
    <x v="0"/>
    <x v="1"/>
    <x v="0"/>
    <x v="11"/>
    <x v="5"/>
    <x v="9"/>
    <x v="1"/>
  </r>
  <r>
    <s v="TX501671"/>
    <x v="3"/>
    <x v="2"/>
    <n v="51.2"/>
    <n v="153.60000000000002"/>
    <x v="61"/>
    <x v="61"/>
    <x v="2"/>
    <x v="0"/>
    <x v="0"/>
    <x v="0"/>
    <x v="32"/>
    <x v="3"/>
    <x v="9"/>
    <x v="2"/>
  </r>
  <r>
    <s v="TX501672"/>
    <x v="5"/>
    <x v="2"/>
    <n v="28.3"/>
    <n v="84.9"/>
    <x v="61"/>
    <x v="63"/>
    <x v="1"/>
    <x v="4"/>
    <x v="0"/>
    <x v="0"/>
    <x v="19"/>
    <x v="1"/>
    <x v="9"/>
    <x v="1"/>
  </r>
  <r>
    <s v="TX501673"/>
    <x v="6"/>
    <x v="2"/>
    <n v="42.3"/>
    <n v="126.89999999999999"/>
    <x v="61"/>
    <x v="62"/>
    <x v="2"/>
    <x v="2"/>
    <x v="1"/>
    <x v="0"/>
    <x v="19"/>
    <x v="7"/>
    <x v="9"/>
    <x v="2"/>
  </r>
  <r>
    <s v="TX501674"/>
    <x v="2"/>
    <x v="8"/>
    <n v="163.30000000000001"/>
    <n v="1306.4000000000001"/>
    <x v="62"/>
    <x v="63"/>
    <x v="2"/>
    <x v="1"/>
    <x v="0"/>
    <x v="0"/>
    <x v="13"/>
    <x v="3"/>
    <x v="9"/>
    <x v="2"/>
  </r>
  <r>
    <s v="TX501675"/>
    <x v="6"/>
    <x v="3"/>
    <n v="47.3"/>
    <n v="331.09999999999997"/>
    <x v="62"/>
    <x v="68"/>
    <x v="2"/>
    <x v="4"/>
    <x v="1"/>
    <x v="0"/>
    <x v="21"/>
    <x v="2"/>
    <x v="9"/>
    <x v="2"/>
  </r>
  <r>
    <s v="TX501676"/>
    <x v="8"/>
    <x v="27"/>
    <n v="27.3"/>
    <n v="436.8"/>
    <x v="62"/>
    <x v="63"/>
    <x v="2"/>
    <x v="2"/>
    <x v="0"/>
    <x v="0"/>
    <x v="21"/>
    <x v="3"/>
    <x v="9"/>
    <x v="2"/>
  </r>
  <r>
    <s v="TX501677"/>
    <x v="10"/>
    <x v="13"/>
    <n v="34.9"/>
    <n v="209.39999999999998"/>
    <x v="62"/>
    <x v="72"/>
    <x v="2"/>
    <x v="0"/>
    <x v="0"/>
    <x v="0"/>
    <x v="21"/>
    <x v="11"/>
    <x v="9"/>
    <x v="2"/>
  </r>
  <r>
    <s v="TX501678"/>
    <x v="6"/>
    <x v="1"/>
    <n v="53.9"/>
    <n v="107.8"/>
    <x v="62"/>
    <x v="68"/>
    <x v="3"/>
    <x v="0"/>
    <x v="4"/>
    <x v="0"/>
    <x v="1"/>
    <x v="2"/>
    <x v="9"/>
    <x v="3"/>
  </r>
  <r>
    <s v="TX501679"/>
    <x v="2"/>
    <x v="1"/>
    <n v="87.2"/>
    <n v="174.4"/>
    <x v="62"/>
    <x v="63"/>
    <x v="2"/>
    <x v="0"/>
    <x v="1"/>
    <x v="0"/>
    <x v="1"/>
    <x v="3"/>
    <x v="9"/>
    <x v="2"/>
  </r>
  <r>
    <s v="TX501680"/>
    <x v="15"/>
    <x v="0"/>
    <n v="58.8"/>
    <n v="58.8"/>
    <x v="62"/>
    <x v="66"/>
    <x v="2"/>
    <x v="2"/>
    <x v="0"/>
    <x v="0"/>
    <x v="44"/>
    <x v="1"/>
    <x v="9"/>
    <x v="2"/>
  </r>
  <r>
    <s v="TX501681"/>
    <x v="2"/>
    <x v="3"/>
    <n v="125.5"/>
    <n v="878.5"/>
    <x v="62"/>
    <x v="63"/>
    <x v="1"/>
    <x v="2"/>
    <x v="4"/>
    <x v="0"/>
    <x v="22"/>
    <x v="3"/>
    <x v="9"/>
    <x v="1"/>
  </r>
  <r>
    <s v="TX501682"/>
    <x v="1"/>
    <x v="12"/>
    <n v="124.6"/>
    <n v="498.4"/>
    <x v="62"/>
    <x v="66"/>
    <x v="2"/>
    <x v="0"/>
    <x v="1"/>
    <x v="0"/>
    <x v="22"/>
    <x v="1"/>
    <x v="9"/>
    <x v="2"/>
  </r>
  <r>
    <s v="TX501683"/>
    <x v="1"/>
    <x v="3"/>
    <n v="39.9"/>
    <n v="279.3"/>
    <x v="62"/>
    <x v="63"/>
    <x v="1"/>
    <x v="2"/>
    <x v="1"/>
    <x v="0"/>
    <x v="3"/>
    <x v="3"/>
    <x v="9"/>
    <x v="1"/>
  </r>
  <r>
    <s v="TX501684"/>
    <x v="6"/>
    <x v="0"/>
    <n v="94.6"/>
    <n v="94.6"/>
    <x v="62"/>
    <x v="73"/>
    <x v="2"/>
    <x v="0"/>
    <x v="1"/>
    <x v="0"/>
    <x v="3"/>
    <x v="12"/>
    <x v="9"/>
    <x v="2"/>
  </r>
  <r>
    <s v="TX501685"/>
    <x v="2"/>
    <x v="1"/>
    <n v="149.6"/>
    <n v="299.2"/>
    <x v="62"/>
    <x v="63"/>
    <x v="2"/>
    <x v="0"/>
    <x v="0"/>
    <x v="0"/>
    <x v="3"/>
    <x v="3"/>
    <x v="9"/>
    <x v="2"/>
  </r>
  <r>
    <s v="TX501686"/>
    <x v="8"/>
    <x v="0"/>
    <n v="52.2"/>
    <n v="52.2"/>
    <x v="62"/>
    <x v="63"/>
    <x v="0"/>
    <x v="1"/>
    <x v="0"/>
    <x v="0"/>
    <x v="3"/>
    <x v="3"/>
    <x v="9"/>
    <x v="0"/>
  </r>
  <r>
    <s v="TX501687"/>
    <x v="6"/>
    <x v="1"/>
    <n v="96.5"/>
    <n v="193"/>
    <x v="62"/>
    <x v="63"/>
    <x v="2"/>
    <x v="1"/>
    <x v="1"/>
    <x v="0"/>
    <x v="3"/>
    <x v="3"/>
    <x v="9"/>
    <x v="2"/>
  </r>
  <r>
    <s v="TX501688"/>
    <x v="8"/>
    <x v="1"/>
    <n v="79.8"/>
    <n v="159.6"/>
    <x v="62"/>
    <x v="66"/>
    <x v="2"/>
    <x v="0"/>
    <x v="1"/>
    <x v="0"/>
    <x v="3"/>
    <x v="1"/>
    <x v="9"/>
    <x v="2"/>
  </r>
  <r>
    <s v="TX501689"/>
    <x v="8"/>
    <x v="2"/>
    <n v="35.6"/>
    <n v="106.80000000000001"/>
    <x v="62"/>
    <x v="63"/>
    <x v="2"/>
    <x v="2"/>
    <x v="0"/>
    <x v="0"/>
    <x v="3"/>
    <x v="3"/>
    <x v="9"/>
    <x v="2"/>
  </r>
  <r>
    <s v="TX501690"/>
    <x v="16"/>
    <x v="0"/>
    <n v="50.2"/>
    <n v="50.2"/>
    <x v="62"/>
    <x v="63"/>
    <x v="2"/>
    <x v="1"/>
    <x v="2"/>
    <x v="0"/>
    <x v="3"/>
    <x v="3"/>
    <x v="9"/>
    <x v="2"/>
  </r>
  <r>
    <s v="TX501691"/>
    <x v="1"/>
    <x v="2"/>
    <n v="55.3"/>
    <n v="165.89999999999998"/>
    <x v="62"/>
    <x v="68"/>
    <x v="2"/>
    <x v="0"/>
    <x v="4"/>
    <x v="0"/>
    <x v="40"/>
    <x v="2"/>
    <x v="9"/>
    <x v="2"/>
  </r>
  <r>
    <s v="TX501692"/>
    <x v="6"/>
    <x v="3"/>
    <n v="104.5"/>
    <n v="731.5"/>
    <x v="62"/>
    <x v="70"/>
    <x v="2"/>
    <x v="1"/>
    <x v="0"/>
    <x v="0"/>
    <x v="7"/>
    <x v="5"/>
    <x v="9"/>
    <x v="2"/>
  </r>
  <r>
    <s v="TX501693"/>
    <x v="6"/>
    <x v="12"/>
    <n v="66.5"/>
    <n v="266"/>
    <x v="62"/>
    <x v="66"/>
    <x v="1"/>
    <x v="1"/>
    <x v="0"/>
    <x v="0"/>
    <x v="7"/>
    <x v="1"/>
    <x v="9"/>
    <x v="1"/>
  </r>
  <r>
    <s v="TX501694"/>
    <x v="10"/>
    <x v="8"/>
    <n v="38.299999999999997"/>
    <n v="306.39999999999998"/>
    <x v="62"/>
    <x v="63"/>
    <x v="2"/>
    <x v="0"/>
    <x v="0"/>
    <x v="0"/>
    <x v="7"/>
    <x v="3"/>
    <x v="9"/>
    <x v="2"/>
  </r>
  <r>
    <s v="TX501695"/>
    <x v="6"/>
    <x v="2"/>
    <n v="63.8"/>
    <n v="191.39999999999998"/>
    <x v="62"/>
    <x v="68"/>
    <x v="2"/>
    <x v="1"/>
    <x v="0"/>
    <x v="0"/>
    <x v="8"/>
    <x v="2"/>
    <x v="9"/>
    <x v="2"/>
  </r>
  <r>
    <s v="TX501696"/>
    <x v="15"/>
    <x v="0"/>
    <n v="21.4"/>
    <n v="21.4"/>
    <x v="62"/>
    <x v="61"/>
    <x v="1"/>
    <x v="4"/>
    <x v="0"/>
    <x v="0"/>
    <x v="8"/>
    <x v="7"/>
    <x v="9"/>
    <x v="1"/>
  </r>
  <r>
    <s v="TX501697"/>
    <x v="8"/>
    <x v="12"/>
    <n v="44.1"/>
    <n v="176.4"/>
    <x v="62"/>
    <x v="66"/>
    <x v="2"/>
    <x v="2"/>
    <x v="0"/>
    <x v="0"/>
    <x v="8"/>
    <x v="1"/>
    <x v="9"/>
    <x v="2"/>
  </r>
  <r>
    <s v="TX501698"/>
    <x v="5"/>
    <x v="8"/>
    <n v="57.6"/>
    <n v="460.8"/>
    <x v="62"/>
    <x v="66"/>
    <x v="1"/>
    <x v="1"/>
    <x v="2"/>
    <x v="0"/>
    <x v="8"/>
    <x v="1"/>
    <x v="9"/>
    <x v="1"/>
  </r>
  <r>
    <s v="TX501699"/>
    <x v="9"/>
    <x v="1"/>
    <n v="20.3"/>
    <n v="40.6"/>
    <x v="62"/>
    <x v="65"/>
    <x v="2"/>
    <x v="3"/>
    <x v="0"/>
    <x v="0"/>
    <x v="8"/>
    <x v="4"/>
    <x v="9"/>
    <x v="2"/>
  </r>
  <r>
    <s v="TX501700"/>
    <x v="8"/>
    <x v="0"/>
    <n v="22.9"/>
    <n v="22.9"/>
    <x v="62"/>
    <x v="66"/>
    <x v="2"/>
    <x v="2"/>
    <x v="2"/>
    <x v="0"/>
    <x v="8"/>
    <x v="1"/>
    <x v="9"/>
    <x v="2"/>
  </r>
  <r>
    <s v="TX501701"/>
    <x v="6"/>
    <x v="12"/>
    <n v="105.9"/>
    <n v="423.6"/>
    <x v="62"/>
    <x v="63"/>
    <x v="2"/>
    <x v="1"/>
    <x v="2"/>
    <x v="0"/>
    <x v="17"/>
    <x v="3"/>
    <x v="9"/>
    <x v="2"/>
  </r>
  <r>
    <s v="TX501702"/>
    <x v="1"/>
    <x v="11"/>
    <n v="37.4"/>
    <n v="336.59999999999997"/>
    <x v="62"/>
    <x v="70"/>
    <x v="1"/>
    <x v="1"/>
    <x v="0"/>
    <x v="0"/>
    <x v="11"/>
    <x v="5"/>
    <x v="9"/>
    <x v="1"/>
  </r>
  <r>
    <s v="TX501703"/>
    <x v="18"/>
    <x v="1"/>
    <n v="79"/>
    <n v="158"/>
    <x v="62"/>
    <x v="63"/>
    <x v="1"/>
    <x v="2"/>
    <x v="0"/>
    <x v="0"/>
    <x v="28"/>
    <x v="3"/>
    <x v="9"/>
    <x v="1"/>
  </r>
  <r>
    <s v="TX501704"/>
    <x v="0"/>
    <x v="2"/>
    <n v="19.3"/>
    <n v="57.900000000000006"/>
    <x v="62"/>
    <x v="63"/>
    <x v="2"/>
    <x v="4"/>
    <x v="0"/>
    <x v="0"/>
    <x v="21"/>
    <x v="3"/>
    <x v="9"/>
    <x v="2"/>
  </r>
  <r>
    <s v="TX501705"/>
    <x v="0"/>
    <x v="0"/>
    <n v="24"/>
    <n v="24"/>
    <x v="62"/>
    <x v="63"/>
    <x v="2"/>
    <x v="1"/>
    <x v="0"/>
    <x v="0"/>
    <x v="1"/>
    <x v="3"/>
    <x v="9"/>
    <x v="2"/>
  </r>
  <r>
    <s v="TX501706"/>
    <x v="6"/>
    <x v="9"/>
    <n v="71.3"/>
    <n v="356.5"/>
    <x v="62"/>
    <x v="68"/>
    <x v="2"/>
    <x v="2"/>
    <x v="0"/>
    <x v="0"/>
    <x v="2"/>
    <x v="2"/>
    <x v="9"/>
    <x v="2"/>
  </r>
  <r>
    <s v="TX501707"/>
    <x v="5"/>
    <x v="1"/>
    <n v="166.2"/>
    <n v="332.4"/>
    <x v="62"/>
    <x v="63"/>
    <x v="1"/>
    <x v="0"/>
    <x v="2"/>
    <x v="0"/>
    <x v="50"/>
    <x v="3"/>
    <x v="9"/>
    <x v="1"/>
  </r>
  <r>
    <s v="TX501708"/>
    <x v="6"/>
    <x v="0"/>
    <n v="81"/>
    <n v="81"/>
    <x v="62"/>
    <x v="63"/>
    <x v="2"/>
    <x v="2"/>
    <x v="1"/>
    <x v="0"/>
    <x v="3"/>
    <x v="3"/>
    <x v="9"/>
    <x v="2"/>
  </r>
  <r>
    <s v="TX501709"/>
    <x v="10"/>
    <x v="13"/>
    <n v="38.5"/>
    <n v="231"/>
    <x v="62"/>
    <x v="70"/>
    <x v="2"/>
    <x v="0"/>
    <x v="0"/>
    <x v="0"/>
    <x v="3"/>
    <x v="5"/>
    <x v="9"/>
    <x v="2"/>
  </r>
  <r>
    <s v="TX501710"/>
    <x v="6"/>
    <x v="0"/>
    <n v="86.1"/>
    <n v="86.1"/>
    <x v="62"/>
    <x v="66"/>
    <x v="2"/>
    <x v="3"/>
    <x v="0"/>
    <x v="0"/>
    <x v="3"/>
    <x v="1"/>
    <x v="9"/>
    <x v="2"/>
  </r>
  <r>
    <s v="TX501711"/>
    <x v="2"/>
    <x v="9"/>
    <n v="51"/>
    <n v="255"/>
    <x v="62"/>
    <x v="63"/>
    <x v="1"/>
    <x v="0"/>
    <x v="1"/>
    <x v="0"/>
    <x v="3"/>
    <x v="3"/>
    <x v="9"/>
    <x v="1"/>
  </r>
  <r>
    <s v="TX501712"/>
    <x v="3"/>
    <x v="9"/>
    <n v="115.4"/>
    <n v="577"/>
    <x v="62"/>
    <x v="63"/>
    <x v="1"/>
    <x v="0"/>
    <x v="0"/>
    <x v="0"/>
    <x v="3"/>
    <x v="3"/>
    <x v="9"/>
    <x v="1"/>
  </r>
  <r>
    <s v="TX501713"/>
    <x v="6"/>
    <x v="12"/>
    <n v="176.5"/>
    <n v="706"/>
    <x v="62"/>
    <x v="63"/>
    <x v="2"/>
    <x v="2"/>
    <x v="2"/>
    <x v="0"/>
    <x v="3"/>
    <x v="3"/>
    <x v="9"/>
    <x v="2"/>
  </r>
  <r>
    <s v="TX501714"/>
    <x v="7"/>
    <x v="2"/>
    <n v="48.9"/>
    <n v="146.69999999999999"/>
    <x v="62"/>
    <x v="63"/>
    <x v="1"/>
    <x v="4"/>
    <x v="0"/>
    <x v="0"/>
    <x v="3"/>
    <x v="3"/>
    <x v="9"/>
    <x v="1"/>
  </r>
  <r>
    <s v="TX501715"/>
    <x v="8"/>
    <x v="2"/>
    <n v="18.100000000000001"/>
    <n v="54.300000000000004"/>
    <x v="62"/>
    <x v="71"/>
    <x v="2"/>
    <x v="1"/>
    <x v="2"/>
    <x v="0"/>
    <x v="29"/>
    <x v="6"/>
    <x v="9"/>
    <x v="2"/>
  </r>
  <r>
    <s v="TX501716"/>
    <x v="2"/>
    <x v="1"/>
    <n v="118.5"/>
    <n v="237"/>
    <x v="62"/>
    <x v="68"/>
    <x v="1"/>
    <x v="1"/>
    <x v="2"/>
    <x v="0"/>
    <x v="16"/>
    <x v="2"/>
    <x v="9"/>
    <x v="1"/>
  </r>
  <r>
    <s v="TX501717"/>
    <x v="15"/>
    <x v="3"/>
    <n v="59.1"/>
    <n v="413.7"/>
    <x v="62"/>
    <x v="63"/>
    <x v="2"/>
    <x v="3"/>
    <x v="0"/>
    <x v="0"/>
    <x v="25"/>
    <x v="3"/>
    <x v="9"/>
    <x v="2"/>
  </r>
  <r>
    <s v="TX501718"/>
    <x v="4"/>
    <x v="0"/>
    <n v="21.2"/>
    <n v="21.2"/>
    <x v="62"/>
    <x v="63"/>
    <x v="2"/>
    <x v="0"/>
    <x v="1"/>
    <x v="0"/>
    <x v="6"/>
    <x v="3"/>
    <x v="9"/>
    <x v="2"/>
  </r>
  <r>
    <s v="TX501719"/>
    <x v="6"/>
    <x v="1"/>
    <n v="68.8"/>
    <n v="137.6"/>
    <x v="62"/>
    <x v="60"/>
    <x v="2"/>
    <x v="3"/>
    <x v="2"/>
    <x v="0"/>
    <x v="6"/>
    <x v="0"/>
    <x v="9"/>
    <x v="2"/>
  </r>
  <r>
    <s v="TX501720"/>
    <x v="6"/>
    <x v="1"/>
    <n v="65.400000000000006"/>
    <n v="130.80000000000001"/>
    <x v="62"/>
    <x v="70"/>
    <x v="2"/>
    <x v="0"/>
    <x v="0"/>
    <x v="0"/>
    <x v="6"/>
    <x v="5"/>
    <x v="9"/>
    <x v="2"/>
  </r>
  <r>
    <s v="TX501721"/>
    <x v="12"/>
    <x v="9"/>
    <n v="66.3"/>
    <n v="331.5"/>
    <x v="63"/>
    <x v="70"/>
    <x v="2"/>
    <x v="4"/>
    <x v="0"/>
    <x v="0"/>
    <x v="6"/>
    <x v="2"/>
    <x v="9"/>
    <x v="2"/>
  </r>
  <r>
    <s v="TX501722"/>
    <x v="6"/>
    <x v="2"/>
    <n v="97.5"/>
    <n v="292.5"/>
    <x v="63"/>
    <x v="63"/>
    <x v="1"/>
    <x v="3"/>
    <x v="0"/>
    <x v="0"/>
    <x v="8"/>
    <x v="7"/>
    <x v="9"/>
    <x v="1"/>
  </r>
  <r>
    <s v="TX501723"/>
    <x v="1"/>
    <x v="1"/>
    <n v="44"/>
    <n v="88"/>
    <x v="63"/>
    <x v="70"/>
    <x v="2"/>
    <x v="1"/>
    <x v="2"/>
    <x v="0"/>
    <x v="8"/>
    <x v="2"/>
    <x v="9"/>
    <x v="2"/>
  </r>
  <r>
    <s v="TX501724"/>
    <x v="0"/>
    <x v="0"/>
    <n v="21.9"/>
    <n v="21.9"/>
    <x v="63"/>
    <x v="66"/>
    <x v="1"/>
    <x v="0"/>
    <x v="0"/>
    <x v="0"/>
    <x v="8"/>
    <x v="3"/>
    <x v="9"/>
    <x v="1"/>
  </r>
  <r>
    <s v="TX501725"/>
    <x v="4"/>
    <x v="3"/>
    <n v="21.5"/>
    <n v="150.5"/>
    <x v="63"/>
    <x v="68"/>
    <x v="2"/>
    <x v="1"/>
    <x v="2"/>
    <x v="0"/>
    <x v="9"/>
    <x v="1"/>
    <x v="9"/>
    <x v="2"/>
  </r>
  <r>
    <s v="TX501726"/>
    <x v="12"/>
    <x v="13"/>
    <n v="133"/>
    <n v="798"/>
    <x v="63"/>
    <x v="66"/>
    <x v="3"/>
    <x v="0"/>
    <x v="2"/>
    <x v="0"/>
    <x v="10"/>
    <x v="3"/>
    <x v="9"/>
    <x v="3"/>
  </r>
  <r>
    <s v="TX501727"/>
    <x v="8"/>
    <x v="1"/>
    <n v="47.7"/>
    <n v="95.4"/>
    <x v="63"/>
    <x v="60"/>
    <x v="1"/>
    <x v="0"/>
    <x v="2"/>
    <x v="0"/>
    <x v="10"/>
    <x v="5"/>
    <x v="9"/>
    <x v="1"/>
  </r>
  <r>
    <s v="TX501728"/>
    <x v="16"/>
    <x v="2"/>
    <n v="58.1"/>
    <n v="174.3"/>
    <x v="63"/>
    <x v="66"/>
    <x v="2"/>
    <x v="0"/>
    <x v="0"/>
    <x v="0"/>
    <x v="11"/>
    <x v="3"/>
    <x v="9"/>
    <x v="2"/>
  </r>
  <r>
    <s v="TX501729"/>
    <x v="12"/>
    <x v="12"/>
    <n v="66.599999999999994"/>
    <n v="266.39999999999998"/>
    <x v="63"/>
    <x v="66"/>
    <x v="0"/>
    <x v="0"/>
    <x v="0"/>
    <x v="0"/>
    <x v="11"/>
    <x v="3"/>
    <x v="9"/>
    <x v="0"/>
  </r>
  <r>
    <s v="TX501730"/>
    <x v="9"/>
    <x v="0"/>
    <n v="24.1"/>
    <n v="24.1"/>
    <x v="63"/>
    <x v="70"/>
    <x v="1"/>
    <x v="2"/>
    <x v="1"/>
    <x v="0"/>
    <x v="19"/>
    <x v="2"/>
    <x v="9"/>
    <x v="1"/>
  </r>
  <r>
    <s v="TX501731"/>
    <x v="10"/>
    <x v="9"/>
    <n v="51.5"/>
    <n v="257.5"/>
    <x v="63"/>
    <x v="65"/>
    <x v="2"/>
    <x v="0"/>
    <x v="0"/>
    <x v="0"/>
    <x v="13"/>
    <x v="0"/>
    <x v="9"/>
    <x v="2"/>
  </r>
  <r>
    <s v="TX501732"/>
    <x v="0"/>
    <x v="5"/>
    <n v="25.8"/>
    <n v="283.8"/>
    <x v="63"/>
    <x v="60"/>
    <x v="2"/>
    <x v="3"/>
    <x v="4"/>
    <x v="0"/>
    <x v="21"/>
    <x v="5"/>
    <x v="9"/>
    <x v="2"/>
  </r>
  <r>
    <s v="TX501733"/>
    <x v="9"/>
    <x v="12"/>
    <n v="47.7"/>
    <n v="190.8"/>
    <x v="63"/>
    <x v="63"/>
    <x v="2"/>
    <x v="0"/>
    <x v="1"/>
    <x v="0"/>
    <x v="21"/>
    <x v="7"/>
    <x v="9"/>
    <x v="2"/>
  </r>
  <r>
    <s v="TX501734"/>
    <x v="7"/>
    <x v="9"/>
    <n v="73.599999999999994"/>
    <n v="368"/>
    <x v="63"/>
    <x v="60"/>
    <x v="1"/>
    <x v="1"/>
    <x v="0"/>
    <x v="0"/>
    <x v="21"/>
    <x v="5"/>
    <x v="9"/>
    <x v="1"/>
  </r>
  <r>
    <s v="TX501735"/>
    <x v="5"/>
    <x v="3"/>
    <n v="91.2"/>
    <n v="638.4"/>
    <x v="63"/>
    <x v="66"/>
    <x v="1"/>
    <x v="1"/>
    <x v="2"/>
    <x v="0"/>
    <x v="21"/>
    <x v="3"/>
    <x v="9"/>
    <x v="1"/>
  </r>
  <r>
    <s v="TX501736"/>
    <x v="1"/>
    <x v="8"/>
    <n v="36.200000000000003"/>
    <n v="289.60000000000002"/>
    <x v="63"/>
    <x v="63"/>
    <x v="1"/>
    <x v="2"/>
    <x v="2"/>
    <x v="0"/>
    <x v="1"/>
    <x v="7"/>
    <x v="9"/>
    <x v="1"/>
  </r>
  <r>
    <s v="TX501737"/>
    <x v="9"/>
    <x v="8"/>
    <n v="98"/>
    <n v="784"/>
    <x v="63"/>
    <x v="60"/>
    <x v="2"/>
    <x v="2"/>
    <x v="0"/>
    <x v="0"/>
    <x v="2"/>
    <x v="5"/>
    <x v="9"/>
    <x v="2"/>
  </r>
  <r>
    <s v="TX501738"/>
    <x v="1"/>
    <x v="8"/>
    <n v="43.6"/>
    <n v="348.8"/>
    <x v="63"/>
    <x v="66"/>
    <x v="2"/>
    <x v="2"/>
    <x v="0"/>
    <x v="0"/>
    <x v="22"/>
    <x v="3"/>
    <x v="9"/>
    <x v="2"/>
  </r>
  <r>
    <s v="TX501739"/>
    <x v="8"/>
    <x v="7"/>
    <n v="37.799999999999997"/>
    <n v="378"/>
    <x v="63"/>
    <x v="63"/>
    <x v="3"/>
    <x v="0"/>
    <x v="0"/>
    <x v="0"/>
    <x v="50"/>
    <x v="7"/>
    <x v="9"/>
    <x v="3"/>
  </r>
  <r>
    <s v="TX501740"/>
    <x v="17"/>
    <x v="9"/>
    <n v="63.7"/>
    <n v="318.5"/>
    <x v="63"/>
    <x v="70"/>
    <x v="2"/>
    <x v="2"/>
    <x v="1"/>
    <x v="0"/>
    <x v="3"/>
    <x v="2"/>
    <x v="9"/>
    <x v="2"/>
  </r>
  <r>
    <s v="TX501741"/>
    <x v="5"/>
    <x v="11"/>
    <n v="62.9"/>
    <n v="566.1"/>
    <x v="63"/>
    <x v="65"/>
    <x v="1"/>
    <x v="3"/>
    <x v="2"/>
    <x v="0"/>
    <x v="3"/>
    <x v="0"/>
    <x v="9"/>
    <x v="1"/>
  </r>
  <r>
    <s v="TX501742"/>
    <x v="6"/>
    <x v="3"/>
    <n v="61.7"/>
    <n v="431.90000000000003"/>
    <x v="63"/>
    <x v="70"/>
    <x v="2"/>
    <x v="2"/>
    <x v="2"/>
    <x v="0"/>
    <x v="3"/>
    <x v="2"/>
    <x v="9"/>
    <x v="2"/>
  </r>
  <r>
    <s v="TX501743"/>
    <x v="18"/>
    <x v="21"/>
    <n v="36.5"/>
    <n v="511"/>
    <x v="63"/>
    <x v="66"/>
    <x v="1"/>
    <x v="0"/>
    <x v="2"/>
    <x v="0"/>
    <x v="3"/>
    <x v="3"/>
    <x v="9"/>
    <x v="1"/>
  </r>
  <r>
    <s v="TX501744"/>
    <x v="11"/>
    <x v="2"/>
    <n v="98.6"/>
    <n v="295.79999999999995"/>
    <x v="63"/>
    <x v="70"/>
    <x v="3"/>
    <x v="0"/>
    <x v="4"/>
    <x v="0"/>
    <x v="3"/>
    <x v="2"/>
    <x v="9"/>
    <x v="3"/>
  </r>
  <r>
    <s v="TX501745"/>
    <x v="8"/>
    <x v="1"/>
    <n v="19.2"/>
    <n v="38.4"/>
    <x v="63"/>
    <x v="72"/>
    <x v="1"/>
    <x v="0"/>
    <x v="0"/>
    <x v="0"/>
    <x v="3"/>
    <x v="14"/>
    <x v="9"/>
    <x v="1"/>
  </r>
  <r>
    <s v="TX501746"/>
    <x v="3"/>
    <x v="13"/>
    <n v="55.6"/>
    <n v="333.6"/>
    <x v="63"/>
    <x v="60"/>
    <x v="2"/>
    <x v="0"/>
    <x v="2"/>
    <x v="0"/>
    <x v="3"/>
    <x v="5"/>
    <x v="9"/>
    <x v="2"/>
  </r>
  <r>
    <s v="TX501747"/>
    <x v="5"/>
    <x v="13"/>
    <n v="56.4"/>
    <n v="338.4"/>
    <x v="63"/>
    <x v="66"/>
    <x v="2"/>
    <x v="1"/>
    <x v="0"/>
    <x v="0"/>
    <x v="3"/>
    <x v="3"/>
    <x v="9"/>
    <x v="2"/>
  </r>
  <r>
    <s v="TX501748"/>
    <x v="4"/>
    <x v="8"/>
    <n v="43.1"/>
    <n v="344.8"/>
    <x v="63"/>
    <x v="60"/>
    <x v="2"/>
    <x v="4"/>
    <x v="0"/>
    <x v="0"/>
    <x v="3"/>
    <x v="5"/>
    <x v="9"/>
    <x v="2"/>
  </r>
  <r>
    <s v="TX501749"/>
    <x v="1"/>
    <x v="1"/>
    <n v="77.3"/>
    <n v="154.6"/>
    <x v="63"/>
    <x v="68"/>
    <x v="1"/>
    <x v="0"/>
    <x v="0"/>
    <x v="0"/>
    <x v="6"/>
    <x v="1"/>
    <x v="9"/>
    <x v="1"/>
  </r>
  <r>
    <s v="TX501750"/>
    <x v="9"/>
    <x v="8"/>
    <n v="38.299999999999997"/>
    <n v="306.39999999999998"/>
    <x v="63"/>
    <x v="66"/>
    <x v="1"/>
    <x v="0"/>
    <x v="0"/>
    <x v="0"/>
    <x v="7"/>
    <x v="3"/>
    <x v="9"/>
    <x v="1"/>
  </r>
  <r>
    <s v="TX501751"/>
    <x v="0"/>
    <x v="3"/>
    <n v="16.8"/>
    <n v="117.60000000000001"/>
    <x v="63"/>
    <x v="70"/>
    <x v="1"/>
    <x v="2"/>
    <x v="1"/>
    <x v="0"/>
    <x v="8"/>
    <x v="2"/>
    <x v="9"/>
    <x v="1"/>
  </r>
  <r>
    <s v="TX501752"/>
    <x v="2"/>
    <x v="2"/>
    <n v="63.2"/>
    <n v="189.60000000000002"/>
    <x v="63"/>
    <x v="66"/>
    <x v="2"/>
    <x v="0"/>
    <x v="2"/>
    <x v="0"/>
    <x v="8"/>
    <x v="3"/>
    <x v="9"/>
    <x v="2"/>
  </r>
  <r>
    <s v="TX501753"/>
    <x v="14"/>
    <x v="44"/>
    <n v="39.700000000000003"/>
    <n v="913.1"/>
    <x v="63"/>
    <x v="66"/>
    <x v="1"/>
    <x v="0"/>
    <x v="0"/>
    <x v="0"/>
    <x v="8"/>
    <x v="3"/>
    <x v="9"/>
    <x v="1"/>
  </r>
  <r>
    <s v="TX501754"/>
    <x v="10"/>
    <x v="2"/>
    <n v="45.8"/>
    <n v="137.39999999999998"/>
    <x v="63"/>
    <x v="66"/>
    <x v="2"/>
    <x v="1"/>
    <x v="2"/>
    <x v="0"/>
    <x v="8"/>
    <x v="3"/>
    <x v="9"/>
    <x v="2"/>
  </r>
  <r>
    <s v="TX501755"/>
    <x v="0"/>
    <x v="13"/>
    <n v="12.4"/>
    <n v="74.400000000000006"/>
    <x v="63"/>
    <x v="70"/>
    <x v="1"/>
    <x v="0"/>
    <x v="0"/>
    <x v="0"/>
    <x v="8"/>
    <x v="2"/>
    <x v="9"/>
    <x v="1"/>
  </r>
  <r>
    <s v="TX501756"/>
    <x v="14"/>
    <x v="2"/>
    <n v="50.8"/>
    <n v="152.39999999999998"/>
    <x v="64"/>
    <x v="66"/>
    <x v="2"/>
    <x v="4"/>
    <x v="0"/>
    <x v="0"/>
    <x v="17"/>
    <x v="7"/>
    <x v="9"/>
    <x v="2"/>
  </r>
  <r>
    <s v="TX501757"/>
    <x v="9"/>
    <x v="0"/>
    <n v="76"/>
    <n v="76"/>
    <x v="64"/>
    <x v="65"/>
    <x v="3"/>
    <x v="2"/>
    <x v="2"/>
    <x v="0"/>
    <x v="17"/>
    <x v="5"/>
    <x v="9"/>
    <x v="3"/>
  </r>
  <r>
    <s v="TX501758"/>
    <x v="1"/>
    <x v="1"/>
    <n v="51.9"/>
    <n v="103.8"/>
    <x v="64"/>
    <x v="68"/>
    <x v="1"/>
    <x v="1"/>
    <x v="2"/>
    <x v="0"/>
    <x v="26"/>
    <x v="3"/>
    <x v="9"/>
    <x v="1"/>
  </r>
  <r>
    <s v="TX501759"/>
    <x v="2"/>
    <x v="1"/>
    <n v="93.4"/>
    <n v="186.8"/>
    <x v="64"/>
    <x v="64"/>
    <x v="1"/>
    <x v="0"/>
    <x v="3"/>
    <x v="0"/>
    <x v="11"/>
    <x v="6"/>
    <x v="9"/>
    <x v="1"/>
  </r>
  <r>
    <s v="TX501760"/>
    <x v="7"/>
    <x v="13"/>
    <n v="30.8"/>
    <n v="184.8"/>
    <x v="64"/>
    <x v="60"/>
    <x v="2"/>
    <x v="1"/>
    <x v="0"/>
    <x v="0"/>
    <x v="11"/>
    <x v="2"/>
    <x v="9"/>
    <x v="2"/>
  </r>
  <r>
    <s v="TX501761"/>
    <x v="2"/>
    <x v="0"/>
    <n v="143.19999999999999"/>
    <n v="143.19999999999999"/>
    <x v="64"/>
    <x v="60"/>
    <x v="1"/>
    <x v="2"/>
    <x v="0"/>
    <x v="0"/>
    <x v="11"/>
    <x v="2"/>
    <x v="9"/>
    <x v="1"/>
  </r>
  <r>
    <s v="TX501762"/>
    <x v="6"/>
    <x v="5"/>
    <n v="40.4"/>
    <n v="444.4"/>
    <x v="64"/>
    <x v="70"/>
    <x v="1"/>
    <x v="2"/>
    <x v="2"/>
    <x v="0"/>
    <x v="18"/>
    <x v="1"/>
    <x v="9"/>
    <x v="1"/>
  </r>
  <r>
    <s v="TX501763"/>
    <x v="2"/>
    <x v="10"/>
    <n v="131.5"/>
    <n v="2498.5"/>
    <x v="64"/>
    <x v="70"/>
    <x v="1"/>
    <x v="1"/>
    <x v="1"/>
    <x v="0"/>
    <x v="18"/>
    <x v="1"/>
    <x v="9"/>
    <x v="1"/>
  </r>
  <r>
    <s v="TX501764"/>
    <x v="18"/>
    <x v="3"/>
    <n v="61.6"/>
    <n v="431.2"/>
    <x v="64"/>
    <x v="68"/>
    <x v="1"/>
    <x v="2"/>
    <x v="0"/>
    <x v="0"/>
    <x v="21"/>
    <x v="3"/>
    <x v="9"/>
    <x v="1"/>
  </r>
  <r>
    <s v="TX501765"/>
    <x v="9"/>
    <x v="9"/>
    <n v="32.700000000000003"/>
    <n v="163.5"/>
    <x v="64"/>
    <x v="70"/>
    <x v="1"/>
    <x v="2"/>
    <x v="0"/>
    <x v="0"/>
    <x v="1"/>
    <x v="1"/>
    <x v="9"/>
    <x v="1"/>
  </r>
  <r>
    <s v="TX501766"/>
    <x v="0"/>
    <x v="7"/>
    <n v="13.7"/>
    <n v="137"/>
    <x v="64"/>
    <x v="68"/>
    <x v="1"/>
    <x v="0"/>
    <x v="2"/>
    <x v="0"/>
    <x v="3"/>
    <x v="3"/>
    <x v="9"/>
    <x v="1"/>
  </r>
  <r>
    <s v="TX501767"/>
    <x v="0"/>
    <x v="12"/>
    <n v="32.1"/>
    <n v="128.4"/>
    <x v="64"/>
    <x v="68"/>
    <x v="1"/>
    <x v="4"/>
    <x v="1"/>
    <x v="0"/>
    <x v="3"/>
    <x v="3"/>
    <x v="9"/>
    <x v="1"/>
  </r>
  <r>
    <s v="TX501768"/>
    <x v="14"/>
    <x v="8"/>
    <n v="12"/>
    <n v="96"/>
    <x v="64"/>
    <x v="68"/>
    <x v="1"/>
    <x v="1"/>
    <x v="0"/>
    <x v="0"/>
    <x v="24"/>
    <x v="3"/>
    <x v="9"/>
    <x v="1"/>
  </r>
  <r>
    <s v="TX501769"/>
    <x v="12"/>
    <x v="0"/>
    <n v="64.3"/>
    <n v="64.3"/>
    <x v="64"/>
    <x v="70"/>
    <x v="2"/>
    <x v="2"/>
    <x v="2"/>
    <x v="0"/>
    <x v="6"/>
    <x v="1"/>
    <x v="9"/>
    <x v="2"/>
  </r>
  <r>
    <s v="TX501770"/>
    <x v="1"/>
    <x v="2"/>
    <n v="58.2"/>
    <n v="174.60000000000002"/>
    <x v="64"/>
    <x v="70"/>
    <x v="2"/>
    <x v="1"/>
    <x v="2"/>
    <x v="0"/>
    <x v="6"/>
    <x v="1"/>
    <x v="9"/>
    <x v="2"/>
  </r>
  <r>
    <s v="TX501771"/>
    <x v="6"/>
    <x v="12"/>
    <n v="59.2"/>
    <n v="236.8"/>
    <x v="64"/>
    <x v="66"/>
    <x v="1"/>
    <x v="1"/>
    <x v="2"/>
    <x v="0"/>
    <x v="6"/>
    <x v="7"/>
    <x v="9"/>
    <x v="1"/>
  </r>
  <r>
    <s v="TX501772"/>
    <x v="10"/>
    <x v="5"/>
    <n v="35.6"/>
    <n v="391.6"/>
    <x v="64"/>
    <x v="64"/>
    <x v="1"/>
    <x v="0"/>
    <x v="2"/>
    <x v="0"/>
    <x v="8"/>
    <x v="6"/>
    <x v="9"/>
    <x v="1"/>
  </r>
  <r>
    <s v="TX501773"/>
    <x v="16"/>
    <x v="8"/>
    <n v="37"/>
    <n v="296"/>
    <x v="64"/>
    <x v="65"/>
    <x v="2"/>
    <x v="2"/>
    <x v="1"/>
    <x v="0"/>
    <x v="8"/>
    <x v="5"/>
    <x v="9"/>
    <x v="2"/>
  </r>
  <r>
    <s v="TX501774"/>
    <x v="1"/>
    <x v="15"/>
    <n v="80.8"/>
    <n v="1050.3999999999999"/>
    <x v="64"/>
    <x v="70"/>
    <x v="2"/>
    <x v="0"/>
    <x v="0"/>
    <x v="0"/>
    <x v="8"/>
    <x v="1"/>
    <x v="9"/>
    <x v="2"/>
  </r>
  <r>
    <s v="TX501775"/>
    <x v="8"/>
    <x v="1"/>
    <n v="63.2"/>
    <n v="126.4"/>
    <x v="64"/>
    <x v="68"/>
    <x v="1"/>
    <x v="0"/>
    <x v="1"/>
    <x v="0"/>
    <x v="8"/>
    <x v="3"/>
    <x v="9"/>
    <x v="1"/>
  </r>
  <r>
    <s v="TX501776"/>
    <x v="3"/>
    <x v="1"/>
    <n v="40.799999999999997"/>
    <n v="81.599999999999994"/>
    <x v="64"/>
    <x v="70"/>
    <x v="1"/>
    <x v="0"/>
    <x v="1"/>
    <x v="0"/>
    <x v="17"/>
    <x v="1"/>
    <x v="9"/>
    <x v="1"/>
  </r>
  <r>
    <s v="TX501777"/>
    <x v="13"/>
    <x v="13"/>
    <n v="25.7"/>
    <n v="154.19999999999999"/>
    <x v="64"/>
    <x v="70"/>
    <x v="1"/>
    <x v="4"/>
    <x v="0"/>
    <x v="0"/>
    <x v="18"/>
    <x v="1"/>
    <x v="9"/>
    <x v="1"/>
  </r>
  <r>
    <s v="TX501778"/>
    <x v="16"/>
    <x v="1"/>
    <n v="49.9"/>
    <n v="99.8"/>
    <x v="64"/>
    <x v="60"/>
    <x v="1"/>
    <x v="0"/>
    <x v="0"/>
    <x v="0"/>
    <x v="20"/>
    <x v="2"/>
    <x v="9"/>
    <x v="1"/>
  </r>
  <r>
    <s v="TX501779"/>
    <x v="8"/>
    <x v="1"/>
    <n v="20.2"/>
    <n v="40.4"/>
    <x v="64"/>
    <x v="70"/>
    <x v="2"/>
    <x v="3"/>
    <x v="0"/>
    <x v="0"/>
    <x v="21"/>
    <x v="1"/>
    <x v="9"/>
    <x v="2"/>
  </r>
  <r>
    <s v="TX501780"/>
    <x v="6"/>
    <x v="2"/>
    <n v="48.4"/>
    <n v="145.19999999999999"/>
    <x v="64"/>
    <x v="71"/>
    <x v="2"/>
    <x v="0"/>
    <x v="2"/>
    <x v="0"/>
    <x v="21"/>
    <x v="0"/>
    <x v="9"/>
    <x v="2"/>
  </r>
  <r>
    <s v="TX501781"/>
    <x v="6"/>
    <x v="1"/>
    <n v="81"/>
    <n v="162"/>
    <x v="64"/>
    <x v="68"/>
    <x v="2"/>
    <x v="1"/>
    <x v="2"/>
    <x v="0"/>
    <x v="21"/>
    <x v="3"/>
    <x v="9"/>
    <x v="2"/>
  </r>
  <r>
    <s v="TX501782"/>
    <x v="8"/>
    <x v="13"/>
    <n v="19.899999999999999"/>
    <n v="119.39999999999999"/>
    <x v="64"/>
    <x v="60"/>
    <x v="2"/>
    <x v="0"/>
    <x v="1"/>
    <x v="0"/>
    <x v="22"/>
    <x v="2"/>
    <x v="9"/>
    <x v="2"/>
  </r>
  <r>
    <s v="TX501783"/>
    <x v="4"/>
    <x v="12"/>
    <n v="32.200000000000003"/>
    <n v="128.80000000000001"/>
    <x v="64"/>
    <x v="69"/>
    <x v="1"/>
    <x v="0"/>
    <x v="0"/>
    <x v="0"/>
    <x v="22"/>
    <x v="14"/>
    <x v="9"/>
    <x v="1"/>
  </r>
  <r>
    <s v="TX501784"/>
    <x v="5"/>
    <x v="2"/>
    <n v="76.8"/>
    <n v="230.39999999999998"/>
    <x v="64"/>
    <x v="68"/>
    <x v="2"/>
    <x v="0"/>
    <x v="1"/>
    <x v="0"/>
    <x v="3"/>
    <x v="3"/>
    <x v="9"/>
    <x v="2"/>
  </r>
  <r>
    <s v="TX501785"/>
    <x v="6"/>
    <x v="1"/>
    <n v="41.9"/>
    <n v="83.8"/>
    <x v="64"/>
    <x v="70"/>
    <x v="2"/>
    <x v="0"/>
    <x v="0"/>
    <x v="0"/>
    <x v="3"/>
    <x v="1"/>
    <x v="9"/>
    <x v="2"/>
  </r>
  <r>
    <s v="TX501786"/>
    <x v="0"/>
    <x v="3"/>
    <n v="34"/>
    <n v="238"/>
    <x v="64"/>
    <x v="70"/>
    <x v="2"/>
    <x v="1"/>
    <x v="2"/>
    <x v="0"/>
    <x v="3"/>
    <x v="1"/>
    <x v="9"/>
    <x v="2"/>
  </r>
  <r>
    <s v="TX501787"/>
    <x v="7"/>
    <x v="3"/>
    <n v="61.3"/>
    <n v="429.09999999999997"/>
    <x v="64"/>
    <x v="66"/>
    <x v="2"/>
    <x v="4"/>
    <x v="2"/>
    <x v="0"/>
    <x v="3"/>
    <x v="7"/>
    <x v="9"/>
    <x v="2"/>
  </r>
  <r>
    <s v="TX501788"/>
    <x v="9"/>
    <x v="0"/>
    <n v="54.7"/>
    <n v="54.7"/>
    <x v="65"/>
    <x v="70"/>
    <x v="1"/>
    <x v="0"/>
    <x v="1"/>
    <x v="0"/>
    <x v="3"/>
    <x v="3"/>
    <x v="9"/>
    <x v="1"/>
  </r>
  <r>
    <s v="TX501789"/>
    <x v="6"/>
    <x v="7"/>
    <n v="84.7"/>
    <n v="847"/>
    <x v="65"/>
    <x v="71"/>
    <x v="2"/>
    <x v="0"/>
    <x v="0"/>
    <x v="0"/>
    <x v="3"/>
    <x v="5"/>
    <x v="9"/>
    <x v="2"/>
  </r>
  <r>
    <s v="TX501790"/>
    <x v="1"/>
    <x v="2"/>
    <n v="93.4"/>
    <n v="280.20000000000005"/>
    <x v="65"/>
    <x v="71"/>
    <x v="2"/>
    <x v="3"/>
    <x v="0"/>
    <x v="0"/>
    <x v="3"/>
    <x v="5"/>
    <x v="9"/>
    <x v="2"/>
  </r>
  <r>
    <s v="TX501791"/>
    <x v="8"/>
    <x v="9"/>
    <n v="27"/>
    <n v="135"/>
    <x v="65"/>
    <x v="65"/>
    <x v="1"/>
    <x v="0"/>
    <x v="1"/>
    <x v="0"/>
    <x v="3"/>
    <x v="2"/>
    <x v="9"/>
    <x v="1"/>
  </r>
  <r>
    <s v="TX501792"/>
    <x v="0"/>
    <x v="12"/>
    <n v="10.9"/>
    <n v="43.6"/>
    <x v="65"/>
    <x v="70"/>
    <x v="1"/>
    <x v="2"/>
    <x v="0"/>
    <x v="0"/>
    <x v="3"/>
    <x v="3"/>
    <x v="9"/>
    <x v="1"/>
  </r>
  <r>
    <s v="TX501793"/>
    <x v="16"/>
    <x v="2"/>
    <n v="48"/>
    <n v="144"/>
    <x v="65"/>
    <x v="74"/>
    <x v="2"/>
    <x v="4"/>
    <x v="0"/>
    <x v="0"/>
    <x v="3"/>
    <x v="0"/>
    <x v="9"/>
    <x v="2"/>
  </r>
  <r>
    <s v="TX501794"/>
    <x v="5"/>
    <x v="1"/>
    <n v="67.900000000000006"/>
    <n v="135.80000000000001"/>
    <x v="65"/>
    <x v="70"/>
    <x v="1"/>
    <x v="0"/>
    <x v="2"/>
    <x v="0"/>
    <x v="23"/>
    <x v="3"/>
    <x v="9"/>
    <x v="1"/>
  </r>
  <r>
    <s v="TX501795"/>
    <x v="4"/>
    <x v="2"/>
    <n v="36"/>
    <n v="108"/>
    <x v="65"/>
    <x v="70"/>
    <x v="1"/>
    <x v="1"/>
    <x v="0"/>
    <x v="0"/>
    <x v="6"/>
    <x v="3"/>
    <x v="9"/>
    <x v="1"/>
  </r>
  <r>
    <s v="TX501796"/>
    <x v="2"/>
    <x v="0"/>
    <n v="128.80000000000001"/>
    <n v="128.80000000000001"/>
    <x v="65"/>
    <x v="70"/>
    <x v="1"/>
    <x v="4"/>
    <x v="2"/>
    <x v="0"/>
    <x v="6"/>
    <x v="3"/>
    <x v="9"/>
    <x v="1"/>
  </r>
  <r>
    <s v="TX501797"/>
    <x v="18"/>
    <x v="3"/>
    <n v="33.299999999999997"/>
    <n v="233.09999999999997"/>
    <x v="65"/>
    <x v="70"/>
    <x v="2"/>
    <x v="3"/>
    <x v="0"/>
    <x v="0"/>
    <x v="8"/>
    <x v="3"/>
    <x v="9"/>
    <x v="2"/>
  </r>
  <r>
    <s v="TX501798"/>
    <x v="10"/>
    <x v="2"/>
    <n v="37.799999999999997"/>
    <n v="113.39999999999999"/>
    <x v="65"/>
    <x v="60"/>
    <x v="1"/>
    <x v="1"/>
    <x v="2"/>
    <x v="0"/>
    <x v="8"/>
    <x v="1"/>
    <x v="9"/>
    <x v="1"/>
  </r>
  <r>
    <s v="TX501799"/>
    <x v="5"/>
    <x v="2"/>
    <n v="26"/>
    <n v="78"/>
    <x v="65"/>
    <x v="74"/>
    <x v="2"/>
    <x v="0"/>
    <x v="0"/>
    <x v="0"/>
    <x v="8"/>
    <x v="0"/>
    <x v="9"/>
    <x v="2"/>
  </r>
  <r>
    <s v="TX501800"/>
    <x v="8"/>
    <x v="10"/>
    <n v="28.3"/>
    <n v="537.70000000000005"/>
    <x v="65"/>
    <x v="70"/>
    <x v="2"/>
    <x v="3"/>
    <x v="4"/>
    <x v="0"/>
    <x v="8"/>
    <x v="3"/>
    <x v="9"/>
    <x v="2"/>
  </r>
  <r>
    <s v="TX501801"/>
    <x v="8"/>
    <x v="12"/>
    <n v="31.3"/>
    <n v="125.2"/>
    <x v="65"/>
    <x v="68"/>
    <x v="2"/>
    <x v="0"/>
    <x v="0"/>
    <x v="0"/>
    <x v="8"/>
    <x v="7"/>
    <x v="9"/>
    <x v="2"/>
  </r>
  <r>
    <s v="TX501802"/>
    <x v="7"/>
    <x v="2"/>
    <n v="69.5"/>
    <n v="208.5"/>
    <x v="65"/>
    <x v="70"/>
    <x v="2"/>
    <x v="3"/>
    <x v="2"/>
    <x v="0"/>
    <x v="8"/>
    <x v="3"/>
    <x v="9"/>
    <x v="2"/>
  </r>
  <r>
    <s v="TX501803"/>
    <x v="0"/>
    <x v="1"/>
    <n v="16.7"/>
    <n v="33.4"/>
    <x v="65"/>
    <x v="70"/>
    <x v="2"/>
    <x v="3"/>
    <x v="1"/>
    <x v="0"/>
    <x v="8"/>
    <x v="3"/>
    <x v="9"/>
    <x v="2"/>
  </r>
  <r>
    <s v="TX501804"/>
    <x v="9"/>
    <x v="1"/>
    <n v="62.6"/>
    <n v="125.2"/>
    <x v="65"/>
    <x v="70"/>
    <x v="1"/>
    <x v="2"/>
    <x v="2"/>
    <x v="0"/>
    <x v="9"/>
    <x v="3"/>
    <x v="9"/>
    <x v="1"/>
  </r>
  <r>
    <s v="TX501805"/>
    <x v="7"/>
    <x v="0"/>
    <n v="81.2"/>
    <n v="81.2"/>
    <x v="65"/>
    <x v="64"/>
    <x v="1"/>
    <x v="4"/>
    <x v="4"/>
    <x v="0"/>
    <x v="9"/>
    <x v="4"/>
    <x v="9"/>
    <x v="1"/>
  </r>
  <r>
    <s v="TX501806"/>
    <x v="0"/>
    <x v="7"/>
    <n v="12.7"/>
    <n v="127"/>
    <x v="65"/>
    <x v="70"/>
    <x v="2"/>
    <x v="0"/>
    <x v="2"/>
    <x v="0"/>
    <x v="9"/>
    <x v="3"/>
    <x v="9"/>
    <x v="2"/>
  </r>
  <r>
    <s v="TX501807"/>
    <x v="7"/>
    <x v="12"/>
    <n v="77.7"/>
    <n v="310.8"/>
    <x v="66"/>
    <x v="74"/>
    <x v="1"/>
    <x v="1"/>
    <x v="0"/>
    <x v="0"/>
    <x v="11"/>
    <x v="5"/>
    <x v="9"/>
    <x v="1"/>
  </r>
  <r>
    <s v="TX501808"/>
    <x v="5"/>
    <x v="1"/>
    <n v="37.299999999999997"/>
    <n v="74.599999999999994"/>
    <x v="66"/>
    <x v="60"/>
    <x v="2"/>
    <x v="0"/>
    <x v="2"/>
    <x v="0"/>
    <x v="18"/>
    <x v="3"/>
    <x v="9"/>
    <x v="2"/>
  </r>
  <r>
    <s v="TX501809"/>
    <x v="10"/>
    <x v="12"/>
    <n v="35.6"/>
    <n v="142.4"/>
    <x v="66"/>
    <x v="65"/>
    <x v="2"/>
    <x v="1"/>
    <x v="1"/>
    <x v="0"/>
    <x v="19"/>
    <x v="1"/>
    <x v="9"/>
    <x v="2"/>
  </r>
  <r>
    <s v="TX501810"/>
    <x v="2"/>
    <x v="2"/>
    <n v="95"/>
    <n v="285"/>
    <x v="66"/>
    <x v="74"/>
    <x v="2"/>
    <x v="2"/>
    <x v="2"/>
    <x v="0"/>
    <x v="56"/>
    <x v="5"/>
    <x v="9"/>
    <x v="2"/>
  </r>
  <r>
    <s v="TX501811"/>
    <x v="2"/>
    <x v="12"/>
    <n v="172.1"/>
    <n v="688.4"/>
    <x v="66"/>
    <x v="74"/>
    <x v="3"/>
    <x v="2"/>
    <x v="2"/>
    <x v="0"/>
    <x v="21"/>
    <x v="5"/>
    <x v="9"/>
    <x v="3"/>
  </r>
  <r>
    <s v="TX501812"/>
    <x v="2"/>
    <x v="1"/>
    <n v="233"/>
    <n v="466"/>
    <x v="66"/>
    <x v="71"/>
    <x v="2"/>
    <x v="1"/>
    <x v="0"/>
    <x v="0"/>
    <x v="21"/>
    <x v="2"/>
    <x v="9"/>
    <x v="2"/>
  </r>
  <r>
    <s v="TX501813"/>
    <x v="0"/>
    <x v="0"/>
    <n v="43.5"/>
    <n v="43.5"/>
    <x v="66"/>
    <x v="60"/>
    <x v="2"/>
    <x v="2"/>
    <x v="2"/>
    <x v="0"/>
    <x v="21"/>
    <x v="3"/>
    <x v="9"/>
    <x v="2"/>
  </r>
  <r>
    <s v="TX501814"/>
    <x v="9"/>
    <x v="1"/>
    <n v="47.8"/>
    <n v="95.6"/>
    <x v="66"/>
    <x v="71"/>
    <x v="1"/>
    <x v="4"/>
    <x v="2"/>
    <x v="0"/>
    <x v="1"/>
    <x v="2"/>
    <x v="9"/>
    <x v="1"/>
  </r>
  <r>
    <s v="TX501815"/>
    <x v="12"/>
    <x v="1"/>
    <n v="65.8"/>
    <n v="131.6"/>
    <x v="66"/>
    <x v="65"/>
    <x v="2"/>
    <x v="0"/>
    <x v="3"/>
    <x v="0"/>
    <x v="33"/>
    <x v="1"/>
    <x v="9"/>
    <x v="2"/>
  </r>
  <r>
    <s v="TX501816"/>
    <x v="15"/>
    <x v="5"/>
    <n v="38.700000000000003"/>
    <n v="425.70000000000005"/>
    <x v="66"/>
    <x v="70"/>
    <x v="1"/>
    <x v="0"/>
    <x v="0"/>
    <x v="0"/>
    <x v="22"/>
    <x v="7"/>
    <x v="9"/>
    <x v="1"/>
  </r>
  <r>
    <s v="TX501817"/>
    <x v="3"/>
    <x v="12"/>
    <n v="55.7"/>
    <n v="222.8"/>
    <x v="66"/>
    <x v="65"/>
    <x v="3"/>
    <x v="0"/>
    <x v="1"/>
    <x v="0"/>
    <x v="22"/>
    <x v="1"/>
    <x v="9"/>
    <x v="3"/>
  </r>
  <r>
    <s v="TX501818"/>
    <x v="7"/>
    <x v="1"/>
    <n v="102.4"/>
    <n v="204.8"/>
    <x v="66"/>
    <x v="70"/>
    <x v="2"/>
    <x v="1"/>
    <x v="0"/>
    <x v="0"/>
    <x v="3"/>
    <x v="7"/>
    <x v="9"/>
    <x v="2"/>
  </r>
  <r>
    <s v="TX501819"/>
    <x v="1"/>
    <x v="0"/>
    <n v="92"/>
    <n v="92"/>
    <x v="66"/>
    <x v="74"/>
    <x v="0"/>
    <x v="2"/>
    <x v="0"/>
    <x v="0"/>
    <x v="3"/>
    <x v="5"/>
    <x v="9"/>
    <x v="0"/>
  </r>
  <r>
    <s v="TX501820"/>
    <x v="6"/>
    <x v="12"/>
    <n v="75.900000000000006"/>
    <n v="303.60000000000002"/>
    <x v="66"/>
    <x v="65"/>
    <x v="2"/>
    <x v="1"/>
    <x v="0"/>
    <x v="0"/>
    <x v="3"/>
    <x v="1"/>
    <x v="9"/>
    <x v="2"/>
  </r>
  <r>
    <s v="TX501821"/>
    <x v="1"/>
    <x v="12"/>
    <n v="36.200000000000003"/>
    <n v="144.80000000000001"/>
    <x v="66"/>
    <x v="60"/>
    <x v="2"/>
    <x v="1"/>
    <x v="0"/>
    <x v="0"/>
    <x v="3"/>
    <x v="3"/>
    <x v="9"/>
    <x v="2"/>
  </r>
  <r>
    <s v="TX501822"/>
    <x v="6"/>
    <x v="45"/>
    <n v="83.5"/>
    <n v="7264.5"/>
    <x v="66"/>
    <x v="65"/>
    <x v="0"/>
    <x v="3"/>
    <x v="0"/>
    <x v="0"/>
    <x v="3"/>
    <x v="1"/>
    <x v="9"/>
    <x v="0"/>
  </r>
  <r>
    <s v="TX501823"/>
    <x v="19"/>
    <x v="4"/>
    <n v="52.4"/>
    <n v="628.79999999999995"/>
    <x v="66"/>
    <x v="70"/>
    <x v="1"/>
    <x v="2"/>
    <x v="0"/>
    <x v="0"/>
    <x v="3"/>
    <x v="7"/>
    <x v="9"/>
    <x v="1"/>
  </r>
  <r>
    <s v="TX501824"/>
    <x v="12"/>
    <x v="2"/>
    <n v="69.5"/>
    <n v="208.5"/>
    <x v="66"/>
    <x v="60"/>
    <x v="3"/>
    <x v="4"/>
    <x v="0"/>
    <x v="0"/>
    <x v="3"/>
    <x v="3"/>
    <x v="9"/>
    <x v="3"/>
  </r>
  <r>
    <s v="TX501825"/>
    <x v="0"/>
    <x v="0"/>
    <n v="15.5"/>
    <n v="15.5"/>
    <x v="66"/>
    <x v="65"/>
    <x v="1"/>
    <x v="0"/>
    <x v="0"/>
    <x v="0"/>
    <x v="3"/>
    <x v="1"/>
    <x v="9"/>
    <x v="1"/>
  </r>
  <r>
    <s v="TX501826"/>
    <x v="4"/>
    <x v="12"/>
    <n v="35.200000000000003"/>
    <n v="140.80000000000001"/>
    <x v="66"/>
    <x v="60"/>
    <x v="2"/>
    <x v="2"/>
    <x v="2"/>
    <x v="0"/>
    <x v="3"/>
    <x v="3"/>
    <x v="9"/>
    <x v="2"/>
  </r>
  <r>
    <s v="TX501827"/>
    <x v="8"/>
    <x v="13"/>
    <n v="34.6"/>
    <n v="207.60000000000002"/>
    <x v="66"/>
    <x v="60"/>
    <x v="0"/>
    <x v="0"/>
    <x v="1"/>
    <x v="0"/>
    <x v="3"/>
    <x v="3"/>
    <x v="9"/>
    <x v="0"/>
  </r>
  <r>
    <s v="TX501828"/>
    <x v="4"/>
    <x v="0"/>
    <n v="21.3"/>
    <n v="21.3"/>
    <x v="67"/>
    <x v="65"/>
    <x v="1"/>
    <x v="2"/>
    <x v="1"/>
    <x v="0"/>
    <x v="3"/>
    <x v="3"/>
    <x v="10"/>
    <x v="1"/>
  </r>
  <r>
    <s v="TX501829"/>
    <x v="6"/>
    <x v="1"/>
    <n v="136.5"/>
    <n v="273"/>
    <x v="67"/>
    <x v="72"/>
    <x v="2"/>
    <x v="0"/>
    <x v="0"/>
    <x v="0"/>
    <x v="37"/>
    <x v="4"/>
    <x v="10"/>
    <x v="2"/>
  </r>
  <r>
    <s v="TX501830"/>
    <x v="9"/>
    <x v="3"/>
    <n v="30.7"/>
    <n v="214.9"/>
    <x v="67"/>
    <x v="65"/>
    <x v="1"/>
    <x v="2"/>
    <x v="2"/>
    <x v="0"/>
    <x v="25"/>
    <x v="3"/>
    <x v="10"/>
    <x v="1"/>
  </r>
  <r>
    <s v="TX501831"/>
    <x v="1"/>
    <x v="1"/>
    <n v="61.6"/>
    <n v="123.2"/>
    <x v="67"/>
    <x v="65"/>
    <x v="2"/>
    <x v="2"/>
    <x v="2"/>
    <x v="0"/>
    <x v="23"/>
    <x v="3"/>
    <x v="10"/>
    <x v="2"/>
  </r>
  <r>
    <s v="TX501832"/>
    <x v="6"/>
    <x v="12"/>
    <n v="54.3"/>
    <n v="217.2"/>
    <x v="67"/>
    <x v="71"/>
    <x v="0"/>
    <x v="4"/>
    <x v="0"/>
    <x v="0"/>
    <x v="7"/>
    <x v="1"/>
    <x v="10"/>
    <x v="0"/>
  </r>
  <r>
    <s v="TX501833"/>
    <x v="1"/>
    <x v="1"/>
    <n v="44.1"/>
    <n v="88.2"/>
    <x v="67"/>
    <x v="75"/>
    <x v="2"/>
    <x v="0"/>
    <x v="2"/>
    <x v="0"/>
    <x v="8"/>
    <x v="13"/>
    <x v="10"/>
    <x v="2"/>
  </r>
  <r>
    <s v="TX501834"/>
    <x v="8"/>
    <x v="12"/>
    <n v="43.5"/>
    <n v="174"/>
    <x v="67"/>
    <x v="72"/>
    <x v="1"/>
    <x v="3"/>
    <x v="0"/>
    <x v="0"/>
    <x v="8"/>
    <x v="4"/>
    <x v="10"/>
    <x v="1"/>
  </r>
  <r>
    <s v="TX501835"/>
    <x v="8"/>
    <x v="2"/>
    <n v="48.2"/>
    <n v="144.60000000000002"/>
    <x v="67"/>
    <x v="64"/>
    <x v="1"/>
    <x v="3"/>
    <x v="1"/>
    <x v="0"/>
    <x v="8"/>
    <x v="5"/>
    <x v="10"/>
    <x v="1"/>
  </r>
  <r>
    <s v="TX501836"/>
    <x v="19"/>
    <x v="0"/>
    <n v="13.7"/>
    <n v="13.7"/>
    <x v="67"/>
    <x v="65"/>
    <x v="2"/>
    <x v="2"/>
    <x v="2"/>
    <x v="0"/>
    <x v="8"/>
    <x v="3"/>
    <x v="10"/>
    <x v="2"/>
  </r>
  <r>
    <s v="TX501837"/>
    <x v="2"/>
    <x v="1"/>
    <n v="110.5"/>
    <n v="221"/>
    <x v="67"/>
    <x v="65"/>
    <x v="2"/>
    <x v="0"/>
    <x v="1"/>
    <x v="0"/>
    <x v="8"/>
    <x v="3"/>
    <x v="10"/>
    <x v="2"/>
  </r>
  <r>
    <s v="TX501838"/>
    <x v="8"/>
    <x v="2"/>
    <n v="26"/>
    <n v="78"/>
    <x v="67"/>
    <x v="67"/>
    <x v="2"/>
    <x v="1"/>
    <x v="1"/>
    <x v="0"/>
    <x v="8"/>
    <x v="0"/>
    <x v="10"/>
    <x v="2"/>
  </r>
  <r>
    <s v="TX501839"/>
    <x v="2"/>
    <x v="7"/>
    <n v="140.69999999999999"/>
    <n v="1407"/>
    <x v="67"/>
    <x v="72"/>
    <x v="1"/>
    <x v="3"/>
    <x v="1"/>
    <x v="0"/>
    <x v="8"/>
    <x v="4"/>
    <x v="10"/>
    <x v="1"/>
  </r>
  <r>
    <s v="TX501840"/>
    <x v="17"/>
    <x v="1"/>
    <n v="41.7"/>
    <n v="83.4"/>
    <x v="67"/>
    <x v="76"/>
    <x v="2"/>
    <x v="0"/>
    <x v="4"/>
    <x v="0"/>
    <x v="8"/>
    <x v="9"/>
    <x v="10"/>
    <x v="2"/>
  </r>
  <r>
    <s v="TX501841"/>
    <x v="2"/>
    <x v="1"/>
    <n v="135.1"/>
    <n v="270.2"/>
    <x v="67"/>
    <x v="65"/>
    <x v="1"/>
    <x v="0"/>
    <x v="2"/>
    <x v="0"/>
    <x v="17"/>
    <x v="3"/>
    <x v="10"/>
    <x v="1"/>
  </r>
  <r>
    <s v="TX501842"/>
    <x v="12"/>
    <x v="32"/>
    <n v="95.5"/>
    <n v="2101"/>
    <x v="67"/>
    <x v="65"/>
    <x v="2"/>
    <x v="4"/>
    <x v="4"/>
    <x v="0"/>
    <x v="26"/>
    <x v="3"/>
    <x v="10"/>
    <x v="2"/>
  </r>
  <r>
    <s v="TX501843"/>
    <x v="15"/>
    <x v="0"/>
    <n v="25.5"/>
    <n v="25.5"/>
    <x v="67"/>
    <x v="74"/>
    <x v="0"/>
    <x v="2"/>
    <x v="2"/>
    <x v="0"/>
    <x v="11"/>
    <x v="2"/>
    <x v="10"/>
    <x v="0"/>
  </r>
  <r>
    <s v="TX501844"/>
    <x v="1"/>
    <x v="0"/>
    <n v="42.6"/>
    <n v="42.6"/>
    <x v="67"/>
    <x v="64"/>
    <x v="2"/>
    <x v="0"/>
    <x v="0"/>
    <x v="0"/>
    <x v="11"/>
    <x v="5"/>
    <x v="10"/>
    <x v="2"/>
  </r>
  <r>
    <s v="TX501845"/>
    <x v="8"/>
    <x v="20"/>
    <n v="32.4"/>
    <n v="486"/>
    <x v="67"/>
    <x v="65"/>
    <x v="1"/>
    <x v="1"/>
    <x v="1"/>
    <x v="0"/>
    <x v="11"/>
    <x v="3"/>
    <x v="10"/>
    <x v="1"/>
  </r>
  <r>
    <s v="TX501846"/>
    <x v="4"/>
    <x v="12"/>
    <n v="20.2"/>
    <n v="80.8"/>
    <x v="67"/>
    <x v="65"/>
    <x v="3"/>
    <x v="2"/>
    <x v="0"/>
    <x v="0"/>
    <x v="11"/>
    <x v="3"/>
    <x v="10"/>
    <x v="3"/>
  </r>
  <r>
    <s v="TX501847"/>
    <x v="16"/>
    <x v="2"/>
    <n v="52.5"/>
    <n v="157.5"/>
    <x v="67"/>
    <x v="67"/>
    <x v="2"/>
    <x v="4"/>
    <x v="0"/>
    <x v="0"/>
    <x v="18"/>
    <x v="0"/>
    <x v="10"/>
    <x v="2"/>
  </r>
  <r>
    <s v="TX501848"/>
    <x v="2"/>
    <x v="9"/>
    <n v="59.9"/>
    <n v="299.5"/>
    <x v="67"/>
    <x v="71"/>
    <x v="2"/>
    <x v="2"/>
    <x v="0"/>
    <x v="0"/>
    <x v="19"/>
    <x v="1"/>
    <x v="10"/>
    <x v="2"/>
  </r>
  <r>
    <s v="TX501849"/>
    <x v="4"/>
    <x v="1"/>
    <n v="53.2"/>
    <n v="106.4"/>
    <x v="67"/>
    <x v="65"/>
    <x v="2"/>
    <x v="1"/>
    <x v="3"/>
    <x v="0"/>
    <x v="20"/>
    <x v="3"/>
    <x v="10"/>
    <x v="2"/>
  </r>
  <r>
    <s v="TX501850"/>
    <x v="2"/>
    <x v="1"/>
    <n v="60"/>
    <n v="120"/>
    <x v="67"/>
    <x v="72"/>
    <x v="1"/>
    <x v="1"/>
    <x v="2"/>
    <x v="0"/>
    <x v="20"/>
    <x v="4"/>
    <x v="10"/>
    <x v="1"/>
  </r>
  <r>
    <s v="TX501851"/>
    <x v="8"/>
    <x v="2"/>
    <n v="29.3"/>
    <n v="87.9"/>
    <x v="67"/>
    <x v="65"/>
    <x v="2"/>
    <x v="4"/>
    <x v="0"/>
    <x v="0"/>
    <x v="13"/>
    <x v="3"/>
    <x v="10"/>
    <x v="2"/>
  </r>
  <r>
    <s v="TX501852"/>
    <x v="12"/>
    <x v="1"/>
    <n v="55.4"/>
    <n v="110.8"/>
    <x v="67"/>
    <x v="65"/>
    <x v="2"/>
    <x v="0"/>
    <x v="2"/>
    <x v="0"/>
    <x v="21"/>
    <x v="3"/>
    <x v="10"/>
    <x v="2"/>
  </r>
  <r>
    <s v="TX501853"/>
    <x v="0"/>
    <x v="9"/>
    <n v="20.100000000000001"/>
    <n v="100.5"/>
    <x v="67"/>
    <x v="71"/>
    <x v="2"/>
    <x v="1"/>
    <x v="2"/>
    <x v="0"/>
    <x v="21"/>
    <x v="1"/>
    <x v="10"/>
    <x v="2"/>
  </r>
  <r>
    <s v="TX501854"/>
    <x v="14"/>
    <x v="9"/>
    <n v="24"/>
    <n v="120"/>
    <x v="67"/>
    <x v="74"/>
    <x v="1"/>
    <x v="2"/>
    <x v="0"/>
    <x v="0"/>
    <x v="1"/>
    <x v="2"/>
    <x v="10"/>
    <x v="1"/>
  </r>
  <r>
    <s v="TX501855"/>
    <x v="8"/>
    <x v="1"/>
    <n v="30.6"/>
    <n v="61.2"/>
    <x v="68"/>
    <x v="74"/>
    <x v="2"/>
    <x v="0"/>
    <x v="0"/>
    <x v="0"/>
    <x v="1"/>
    <x v="1"/>
    <x v="10"/>
    <x v="2"/>
  </r>
  <r>
    <s v="TX501856"/>
    <x v="10"/>
    <x v="9"/>
    <n v="33"/>
    <n v="165"/>
    <x v="68"/>
    <x v="71"/>
    <x v="1"/>
    <x v="1"/>
    <x v="1"/>
    <x v="0"/>
    <x v="27"/>
    <x v="3"/>
    <x v="10"/>
    <x v="1"/>
  </r>
  <r>
    <s v="TX501857"/>
    <x v="17"/>
    <x v="11"/>
    <n v="42.1"/>
    <n v="378.90000000000003"/>
    <x v="68"/>
    <x v="69"/>
    <x v="2"/>
    <x v="2"/>
    <x v="0"/>
    <x v="0"/>
    <x v="44"/>
    <x v="4"/>
    <x v="10"/>
    <x v="2"/>
  </r>
  <r>
    <s v="TX501858"/>
    <x v="6"/>
    <x v="3"/>
    <n v="77.7"/>
    <n v="543.9"/>
    <x v="68"/>
    <x v="72"/>
    <x v="2"/>
    <x v="1"/>
    <x v="2"/>
    <x v="0"/>
    <x v="50"/>
    <x v="0"/>
    <x v="10"/>
    <x v="2"/>
  </r>
  <r>
    <s v="TX501859"/>
    <x v="17"/>
    <x v="13"/>
    <n v="22.7"/>
    <n v="136.19999999999999"/>
    <x v="68"/>
    <x v="64"/>
    <x v="2"/>
    <x v="2"/>
    <x v="0"/>
    <x v="0"/>
    <x v="3"/>
    <x v="2"/>
    <x v="10"/>
    <x v="2"/>
  </r>
  <r>
    <s v="TX501860"/>
    <x v="2"/>
    <x v="1"/>
    <n v="133"/>
    <n v="266"/>
    <x v="68"/>
    <x v="65"/>
    <x v="1"/>
    <x v="2"/>
    <x v="2"/>
    <x v="0"/>
    <x v="3"/>
    <x v="7"/>
    <x v="10"/>
    <x v="1"/>
  </r>
  <r>
    <s v="TX501861"/>
    <x v="0"/>
    <x v="1"/>
    <n v="23.3"/>
    <n v="46.6"/>
    <x v="68"/>
    <x v="71"/>
    <x v="1"/>
    <x v="1"/>
    <x v="2"/>
    <x v="0"/>
    <x v="3"/>
    <x v="3"/>
    <x v="10"/>
    <x v="1"/>
  </r>
  <r>
    <s v="TX501862"/>
    <x v="8"/>
    <x v="2"/>
    <n v="20.7"/>
    <n v="62.099999999999994"/>
    <x v="68"/>
    <x v="74"/>
    <x v="3"/>
    <x v="0"/>
    <x v="2"/>
    <x v="0"/>
    <x v="3"/>
    <x v="1"/>
    <x v="10"/>
    <x v="3"/>
  </r>
  <r>
    <s v="TX501863"/>
    <x v="12"/>
    <x v="1"/>
    <n v="47"/>
    <n v="94"/>
    <x v="68"/>
    <x v="71"/>
    <x v="1"/>
    <x v="1"/>
    <x v="2"/>
    <x v="0"/>
    <x v="3"/>
    <x v="3"/>
    <x v="10"/>
    <x v="1"/>
  </r>
  <r>
    <s v="TX501864"/>
    <x v="12"/>
    <x v="2"/>
    <n v="38.200000000000003"/>
    <n v="114.60000000000001"/>
    <x v="68"/>
    <x v="74"/>
    <x v="2"/>
    <x v="2"/>
    <x v="4"/>
    <x v="0"/>
    <x v="3"/>
    <x v="1"/>
    <x v="10"/>
    <x v="2"/>
  </r>
  <r>
    <s v="TX501865"/>
    <x v="9"/>
    <x v="0"/>
    <n v="39.1"/>
    <n v="39.1"/>
    <x v="68"/>
    <x v="74"/>
    <x v="2"/>
    <x v="0"/>
    <x v="0"/>
    <x v="0"/>
    <x v="3"/>
    <x v="1"/>
    <x v="10"/>
    <x v="2"/>
  </r>
  <r>
    <s v="TX501866"/>
    <x v="7"/>
    <x v="30"/>
    <n v="55.6"/>
    <n v="1390"/>
    <x v="68"/>
    <x v="74"/>
    <x v="1"/>
    <x v="0"/>
    <x v="2"/>
    <x v="0"/>
    <x v="3"/>
    <x v="1"/>
    <x v="10"/>
    <x v="1"/>
  </r>
  <r>
    <s v="TX501867"/>
    <x v="15"/>
    <x v="0"/>
    <n v="43.1"/>
    <n v="43.1"/>
    <x v="68"/>
    <x v="65"/>
    <x v="3"/>
    <x v="1"/>
    <x v="2"/>
    <x v="0"/>
    <x v="3"/>
    <x v="7"/>
    <x v="10"/>
    <x v="3"/>
  </r>
  <r>
    <s v="TX501868"/>
    <x v="6"/>
    <x v="12"/>
    <n v="48.1"/>
    <n v="192.4"/>
    <x v="68"/>
    <x v="71"/>
    <x v="2"/>
    <x v="4"/>
    <x v="2"/>
    <x v="0"/>
    <x v="3"/>
    <x v="3"/>
    <x v="10"/>
    <x v="2"/>
  </r>
  <r>
    <s v="TX501869"/>
    <x v="4"/>
    <x v="0"/>
    <n v="42"/>
    <n v="42"/>
    <x v="68"/>
    <x v="71"/>
    <x v="3"/>
    <x v="0"/>
    <x v="0"/>
    <x v="0"/>
    <x v="3"/>
    <x v="3"/>
    <x v="10"/>
    <x v="3"/>
  </r>
  <r>
    <s v="TX501870"/>
    <x v="8"/>
    <x v="9"/>
    <n v="18.3"/>
    <n v="91.5"/>
    <x v="68"/>
    <x v="65"/>
    <x v="2"/>
    <x v="2"/>
    <x v="0"/>
    <x v="0"/>
    <x v="3"/>
    <x v="7"/>
    <x v="10"/>
    <x v="2"/>
  </r>
  <r>
    <s v="TX501871"/>
    <x v="10"/>
    <x v="12"/>
    <n v="45.3"/>
    <n v="181.2"/>
    <x v="68"/>
    <x v="64"/>
    <x v="2"/>
    <x v="0"/>
    <x v="2"/>
    <x v="0"/>
    <x v="3"/>
    <x v="2"/>
    <x v="10"/>
    <x v="2"/>
  </r>
  <r>
    <s v="TX501872"/>
    <x v="0"/>
    <x v="1"/>
    <n v="27.6"/>
    <n v="55.2"/>
    <x v="68"/>
    <x v="74"/>
    <x v="1"/>
    <x v="0"/>
    <x v="2"/>
    <x v="0"/>
    <x v="37"/>
    <x v="1"/>
    <x v="10"/>
    <x v="1"/>
  </r>
  <r>
    <s v="TX501873"/>
    <x v="4"/>
    <x v="9"/>
    <n v="26.9"/>
    <n v="134.5"/>
    <x v="68"/>
    <x v="71"/>
    <x v="2"/>
    <x v="2"/>
    <x v="0"/>
    <x v="0"/>
    <x v="25"/>
    <x v="3"/>
    <x v="10"/>
    <x v="2"/>
  </r>
  <r>
    <s v="TX501874"/>
    <x v="2"/>
    <x v="11"/>
    <n v="82.4"/>
    <n v="741.6"/>
    <x v="68"/>
    <x v="74"/>
    <x v="3"/>
    <x v="2"/>
    <x v="0"/>
    <x v="0"/>
    <x v="5"/>
    <x v="1"/>
    <x v="10"/>
    <x v="3"/>
  </r>
  <r>
    <s v="TX501875"/>
    <x v="6"/>
    <x v="0"/>
    <n v="103.7"/>
    <n v="103.7"/>
    <x v="68"/>
    <x v="74"/>
    <x v="2"/>
    <x v="1"/>
    <x v="0"/>
    <x v="0"/>
    <x v="5"/>
    <x v="1"/>
    <x v="10"/>
    <x v="2"/>
  </r>
  <r>
    <s v="TX501876"/>
    <x v="2"/>
    <x v="1"/>
    <n v="58.8"/>
    <n v="117.6"/>
    <x v="68"/>
    <x v="72"/>
    <x v="2"/>
    <x v="1"/>
    <x v="2"/>
    <x v="0"/>
    <x v="6"/>
    <x v="0"/>
    <x v="10"/>
    <x v="2"/>
  </r>
  <r>
    <s v="TX501877"/>
    <x v="13"/>
    <x v="0"/>
    <n v="31.5"/>
    <n v="31.5"/>
    <x v="68"/>
    <x v="71"/>
    <x v="2"/>
    <x v="1"/>
    <x v="1"/>
    <x v="0"/>
    <x v="6"/>
    <x v="3"/>
    <x v="10"/>
    <x v="2"/>
  </r>
  <r>
    <s v="TX501878"/>
    <x v="7"/>
    <x v="9"/>
    <n v="36.799999999999997"/>
    <n v="184"/>
    <x v="68"/>
    <x v="74"/>
    <x v="2"/>
    <x v="0"/>
    <x v="0"/>
    <x v="0"/>
    <x v="8"/>
    <x v="1"/>
    <x v="10"/>
    <x v="2"/>
  </r>
  <r>
    <s v="TX501879"/>
    <x v="3"/>
    <x v="0"/>
    <n v="84.4"/>
    <n v="84.4"/>
    <x v="68"/>
    <x v="71"/>
    <x v="2"/>
    <x v="0"/>
    <x v="0"/>
    <x v="0"/>
    <x v="8"/>
    <x v="3"/>
    <x v="10"/>
    <x v="2"/>
  </r>
  <r>
    <s v="TX501880"/>
    <x v="14"/>
    <x v="0"/>
    <n v="44.7"/>
    <n v="44.7"/>
    <x v="68"/>
    <x v="71"/>
    <x v="1"/>
    <x v="0"/>
    <x v="1"/>
    <x v="0"/>
    <x v="8"/>
    <x v="3"/>
    <x v="10"/>
    <x v="1"/>
  </r>
  <r>
    <s v="TX501881"/>
    <x v="9"/>
    <x v="8"/>
    <n v="39.4"/>
    <n v="315.2"/>
    <x v="68"/>
    <x v="71"/>
    <x v="2"/>
    <x v="1"/>
    <x v="2"/>
    <x v="0"/>
    <x v="8"/>
    <x v="3"/>
    <x v="10"/>
    <x v="2"/>
  </r>
  <r>
    <s v="TX501882"/>
    <x v="11"/>
    <x v="12"/>
    <n v="34.9"/>
    <n v="139.6"/>
    <x v="68"/>
    <x v="74"/>
    <x v="2"/>
    <x v="0"/>
    <x v="2"/>
    <x v="0"/>
    <x v="8"/>
    <x v="1"/>
    <x v="10"/>
    <x v="2"/>
  </r>
  <r>
    <s v="TX501883"/>
    <x v="1"/>
    <x v="2"/>
    <n v="62.3"/>
    <n v="186.89999999999998"/>
    <x v="68"/>
    <x v="74"/>
    <x v="1"/>
    <x v="4"/>
    <x v="2"/>
    <x v="0"/>
    <x v="8"/>
    <x v="1"/>
    <x v="10"/>
    <x v="1"/>
  </r>
  <r>
    <s v="TX501884"/>
    <x v="8"/>
    <x v="12"/>
    <n v="21.1"/>
    <n v="84.4"/>
    <x v="68"/>
    <x v="64"/>
    <x v="1"/>
    <x v="3"/>
    <x v="0"/>
    <x v="0"/>
    <x v="8"/>
    <x v="2"/>
    <x v="10"/>
    <x v="1"/>
  </r>
  <r>
    <s v="TX501885"/>
    <x v="8"/>
    <x v="2"/>
    <n v="33.200000000000003"/>
    <n v="99.600000000000009"/>
    <x v="68"/>
    <x v="77"/>
    <x v="0"/>
    <x v="0"/>
    <x v="4"/>
    <x v="0"/>
    <x v="8"/>
    <x v="12"/>
    <x v="10"/>
    <x v="0"/>
  </r>
  <r>
    <s v="TX501886"/>
    <x v="1"/>
    <x v="12"/>
    <n v="74.5"/>
    <n v="298"/>
    <x v="68"/>
    <x v="71"/>
    <x v="1"/>
    <x v="4"/>
    <x v="0"/>
    <x v="0"/>
    <x v="8"/>
    <x v="3"/>
    <x v="10"/>
    <x v="1"/>
  </r>
  <r>
    <s v="TX501887"/>
    <x v="10"/>
    <x v="4"/>
    <n v="68.599999999999994"/>
    <n v="823.19999999999993"/>
    <x v="68"/>
    <x v="64"/>
    <x v="2"/>
    <x v="0"/>
    <x v="2"/>
    <x v="0"/>
    <x v="8"/>
    <x v="2"/>
    <x v="10"/>
    <x v="2"/>
  </r>
  <r>
    <s v="TX501888"/>
    <x v="5"/>
    <x v="21"/>
    <n v="36.4"/>
    <n v="509.59999999999997"/>
    <x v="68"/>
    <x v="74"/>
    <x v="2"/>
    <x v="0"/>
    <x v="1"/>
    <x v="0"/>
    <x v="9"/>
    <x v="1"/>
    <x v="10"/>
    <x v="2"/>
  </r>
  <r>
    <s v="TX501889"/>
    <x v="16"/>
    <x v="9"/>
    <n v="67.599999999999994"/>
    <n v="338"/>
    <x v="69"/>
    <x v="67"/>
    <x v="2"/>
    <x v="4"/>
    <x v="1"/>
    <x v="0"/>
    <x v="9"/>
    <x v="2"/>
    <x v="10"/>
    <x v="2"/>
  </r>
  <r>
    <s v="TX501890"/>
    <x v="15"/>
    <x v="0"/>
    <n v="46.3"/>
    <n v="46.3"/>
    <x v="69"/>
    <x v="74"/>
    <x v="1"/>
    <x v="2"/>
    <x v="0"/>
    <x v="0"/>
    <x v="9"/>
    <x v="3"/>
    <x v="10"/>
    <x v="1"/>
  </r>
  <r>
    <s v="TX501891"/>
    <x v="1"/>
    <x v="2"/>
    <n v="124.2"/>
    <n v="372.6"/>
    <x v="69"/>
    <x v="64"/>
    <x v="2"/>
    <x v="1"/>
    <x v="2"/>
    <x v="0"/>
    <x v="11"/>
    <x v="1"/>
    <x v="10"/>
    <x v="2"/>
  </r>
  <r>
    <s v="TX501892"/>
    <x v="10"/>
    <x v="1"/>
    <n v="37"/>
    <n v="74"/>
    <x v="69"/>
    <x v="76"/>
    <x v="1"/>
    <x v="0"/>
    <x v="0"/>
    <x v="0"/>
    <x v="11"/>
    <x v="4"/>
    <x v="10"/>
    <x v="1"/>
  </r>
  <r>
    <s v="TX501893"/>
    <x v="5"/>
    <x v="0"/>
    <n v="41.8"/>
    <n v="41.8"/>
    <x v="69"/>
    <x v="74"/>
    <x v="1"/>
    <x v="2"/>
    <x v="0"/>
    <x v="0"/>
    <x v="31"/>
    <x v="3"/>
    <x v="10"/>
    <x v="1"/>
  </r>
  <r>
    <s v="TX501894"/>
    <x v="9"/>
    <x v="1"/>
    <n v="57.2"/>
    <n v="114.4"/>
    <x v="69"/>
    <x v="64"/>
    <x v="1"/>
    <x v="2"/>
    <x v="1"/>
    <x v="0"/>
    <x v="20"/>
    <x v="1"/>
    <x v="10"/>
    <x v="1"/>
  </r>
  <r>
    <s v="TX501895"/>
    <x v="6"/>
    <x v="1"/>
    <n v="47.1"/>
    <n v="94.2"/>
    <x v="69"/>
    <x v="64"/>
    <x v="2"/>
    <x v="0"/>
    <x v="4"/>
    <x v="0"/>
    <x v="20"/>
    <x v="1"/>
    <x v="10"/>
    <x v="2"/>
  </r>
  <r>
    <s v="TX501896"/>
    <x v="5"/>
    <x v="2"/>
    <n v="86.4"/>
    <n v="259.20000000000005"/>
    <x v="69"/>
    <x v="74"/>
    <x v="1"/>
    <x v="2"/>
    <x v="1"/>
    <x v="0"/>
    <x v="52"/>
    <x v="3"/>
    <x v="10"/>
    <x v="1"/>
  </r>
  <r>
    <s v="TX501897"/>
    <x v="6"/>
    <x v="9"/>
    <n v="105"/>
    <n v="525"/>
    <x v="69"/>
    <x v="67"/>
    <x v="1"/>
    <x v="0"/>
    <x v="0"/>
    <x v="0"/>
    <x v="13"/>
    <x v="2"/>
    <x v="10"/>
    <x v="1"/>
  </r>
  <r>
    <s v="TX501898"/>
    <x v="18"/>
    <x v="0"/>
    <n v="33"/>
    <n v="33"/>
    <x v="69"/>
    <x v="67"/>
    <x v="1"/>
    <x v="4"/>
    <x v="0"/>
    <x v="0"/>
    <x v="21"/>
    <x v="2"/>
    <x v="10"/>
    <x v="1"/>
  </r>
  <r>
    <s v="TX501899"/>
    <x v="6"/>
    <x v="9"/>
    <n v="106.6"/>
    <n v="533"/>
    <x v="69"/>
    <x v="77"/>
    <x v="2"/>
    <x v="2"/>
    <x v="0"/>
    <x v="0"/>
    <x v="1"/>
    <x v="10"/>
    <x v="10"/>
    <x v="2"/>
  </r>
  <r>
    <s v="TX501900"/>
    <x v="10"/>
    <x v="46"/>
    <n v="26.8"/>
    <n v="857.6"/>
    <x v="69"/>
    <x v="74"/>
    <x v="2"/>
    <x v="2"/>
    <x v="0"/>
    <x v="0"/>
    <x v="1"/>
    <x v="3"/>
    <x v="10"/>
    <x v="2"/>
  </r>
  <r>
    <s v="TX501901"/>
    <x v="17"/>
    <x v="9"/>
    <n v="25.8"/>
    <n v="129"/>
    <x v="69"/>
    <x v="71"/>
    <x v="2"/>
    <x v="1"/>
    <x v="2"/>
    <x v="0"/>
    <x v="3"/>
    <x v="7"/>
    <x v="10"/>
    <x v="2"/>
  </r>
  <r>
    <s v="TX501902"/>
    <x v="2"/>
    <x v="2"/>
    <n v="217"/>
    <n v="651"/>
    <x v="69"/>
    <x v="74"/>
    <x v="2"/>
    <x v="1"/>
    <x v="1"/>
    <x v="0"/>
    <x v="3"/>
    <x v="3"/>
    <x v="10"/>
    <x v="2"/>
  </r>
  <r>
    <s v="TX501903"/>
    <x v="2"/>
    <x v="1"/>
    <n v="97.3"/>
    <n v="194.6"/>
    <x v="69"/>
    <x v="74"/>
    <x v="1"/>
    <x v="2"/>
    <x v="4"/>
    <x v="0"/>
    <x v="3"/>
    <x v="3"/>
    <x v="10"/>
    <x v="1"/>
  </r>
  <r>
    <s v="TX501904"/>
    <x v="1"/>
    <x v="0"/>
    <n v="49.8"/>
    <n v="49.8"/>
    <x v="69"/>
    <x v="74"/>
    <x v="2"/>
    <x v="0"/>
    <x v="0"/>
    <x v="0"/>
    <x v="3"/>
    <x v="3"/>
    <x v="10"/>
    <x v="2"/>
  </r>
  <r>
    <s v="TX501905"/>
    <x v="12"/>
    <x v="9"/>
    <n v="32.6"/>
    <n v="163"/>
    <x v="69"/>
    <x v="74"/>
    <x v="2"/>
    <x v="0"/>
    <x v="0"/>
    <x v="0"/>
    <x v="3"/>
    <x v="3"/>
    <x v="10"/>
    <x v="2"/>
  </r>
  <r>
    <s v="TX501906"/>
    <x v="9"/>
    <x v="1"/>
    <n v="40.1"/>
    <n v="80.2"/>
    <x v="69"/>
    <x v="67"/>
    <x v="1"/>
    <x v="1"/>
    <x v="2"/>
    <x v="0"/>
    <x v="3"/>
    <x v="2"/>
    <x v="10"/>
    <x v="1"/>
  </r>
  <r>
    <s v="TX501907"/>
    <x v="10"/>
    <x v="1"/>
    <n v="49.4"/>
    <n v="98.8"/>
    <x v="69"/>
    <x v="64"/>
    <x v="1"/>
    <x v="1"/>
    <x v="0"/>
    <x v="0"/>
    <x v="3"/>
    <x v="1"/>
    <x v="10"/>
    <x v="1"/>
  </r>
  <r>
    <s v="TX501908"/>
    <x v="2"/>
    <x v="0"/>
    <n v="67.3"/>
    <n v="67.3"/>
    <x v="69"/>
    <x v="74"/>
    <x v="2"/>
    <x v="0"/>
    <x v="2"/>
    <x v="0"/>
    <x v="3"/>
    <x v="3"/>
    <x v="10"/>
    <x v="2"/>
  </r>
  <r>
    <s v="TX501909"/>
    <x v="18"/>
    <x v="12"/>
    <n v="44.5"/>
    <n v="178"/>
    <x v="69"/>
    <x v="67"/>
    <x v="0"/>
    <x v="1"/>
    <x v="0"/>
    <x v="0"/>
    <x v="3"/>
    <x v="2"/>
    <x v="10"/>
    <x v="0"/>
  </r>
  <r>
    <s v="TX501910"/>
    <x v="6"/>
    <x v="5"/>
    <n v="111.1"/>
    <n v="1222.0999999999999"/>
    <x v="69"/>
    <x v="74"/>
    <x v="2"/>
    <x v="4"/>
    <x v="0"/>
    <x v="0"/>
    <x v="3"/>
    <x v="3"/>
    <x v="10"/>
    <x v="2"/>
  </r>
  <r>
    <s v="TX501911"/>
    <x v="8"/>
    <x v="2"/>
    <n v="19.7"/>
    <n v="59.099999999999994"/>
    <x v="69"/>
    <x v="74"/>
    <x v="2"/>
    <x v="4"/>
    <x v="4"/>
    <x v="0"/>
    <x v="3"/>
    <x v="3"/>
    <x v="10"/>
    <x v="2"/>
  </r>
  <r>
    <s v="TX501912"/>
    <x v="1"/>
    <x v="0"/>
    <n v="40.299999999999997"/>
    <n v="40.299999999999997"/>
    <x v="69"/>
    <x v="74"/>
    <x v="3"/>
    <x v="1"/>
    <x v="0"/>
    <x v="0"/>
    <x v="3"/>
    <x v="3"/>
    <x v="10"/>
    <x v="3"/>
  </r>
  <r>
    <s v="TX501913"/>
    <x v="6"/>
    <x v="1"/>
    <n v="108.8"/>
    <n v="217.6"/>
    <x v="69"/>
    <x v="69"/>
    <x v="1"/>
    <x v="0"/>
    <x v="2"/>
    <x v="0"/>
    <x v="6"/>
    <x v="0"/>
    <x v="10"/>
    <x v="1"/>
  </r>
  <r>
    <s v="TX501914"/>
    <x v="8"/>
    <x v="2"/>
    <n v="48.2"/>
    <n v="144.60000000000002"/>
    <x v="69"/>
    <x v="69"/>
    <x v="2"/>
    <x v="4"/>
    <x v="0"/>
    <x v="0"/>
    <x v="7"/>
    <x v="0"/>
    <x v="10"/>
    <x v="2"/>
  </r>
  <r>
    <s v="TX501915"/>
    <x v="2"/>
    <x v="2"/>
    <n v="104.7"/>
    <n v="314.10000000000002"/>
    <x v="69"/>
    <x v="64"/>
    <x v="2"/>
    <x v="0"/>
    <x v="1"/>
    <x v="0"/>
    <x v="7"/>
    <x v="1"/>
    <x v="10"/>
    <x v="2"/>
  </r>
  <r>
    <s v="TX501916"/>
    <x v="1"/>
    <x v="1"/>
    <n v="80.599999999999994"/>
    <n v="161.19999999999999"/>
    <x v="69"/>
    <x v="71"/>
    <x v="2"/>
    <x v="1"/>
    <x v="0"/>
    <x v="0"/>
    <x v="8"/>
    <x v="7"/>
    <x v="10"/>
    <x v="2"/>
  </r>
  <r>
    <s v="TX501917"/>
    <x v="6"/>
    <x v="0"/>
    <n v="65.5"/>
    <n v="65.5"/>
    <x v="69"/>
    <x v="64"/>
    <x v="3"/>
    <x v="1"/>
    <x v="0"/>
    <x v="0"/>
    <x v="8"/>
    <x v="1"/>
    <x v="10"/>
    <x v="3"/>
  </r>
  <r>
    <s v="TX501918"/>
    <x v="9"/>
    <x v="2"/>
    <n v="61.4"/>
    <n v="184.2"/>
    <x v="69"/>
    <x v="64"/>
    <x v="2"/>
    <x v="4"/>
    <x v="2"/>
    <x v="0"/>
    <x v="8"/>
    <x v="1"/>
    <x v="10"/>
    <x v="2"/>
  </r>
  <r>
    <s v="TX501919"/>
    <x v="0"/>
    <x v="0"/>
    <n v="12.5"/>
    <n v="12.5"/>
    <x v="70"/>
    <x v="72"/>
    <x v="2"/>
    <x v="0"/>
    <x v="1"/>
    <x v="0"/>
    <x v="8"/>
    <x v="2"/>
    <x v="10"/>
    <x v="2"/>
  </r>
  <r>
    <s v="TX501920"/>
    <x v="4"/>
    <x v="12"/>
    <n v="35.1"/>
    <n v="140.4"/>
    <x v="70"/>
    <x v="64"/>
    <x v="1"/>
    <x v="2"/>
    <x v="1"/>
    <x v="0"/>
    <x v="17"/>
    <x v="3"/>
    <x v="10"/>
    <x v="1"/>
  </r>
  <r>
    <s v="TX501921"/>
    <x v="5"/>
    <x v="1"/>
    <n v="55.7"/>
    <n v="111.4"/>
    <x v="70"/>
    <x v="64"/>
    <x v="1"/>
    <x v="0"/>
    <x v="1"/>
    <x v="0"/>
    <x v="26"/>
    <x v="3"/>
    <x v="10"/>
    <x v="1"/>
  </r>
  <r>
    <s v="TX501922"/>
    <x v="7"/>
    <x v="1"/>
    <n v="57.7"/>
    <n v="115.4"/>
    <x v="70"/>
    <x v="67"/>
    <x v="1"/>
    <x v="4"/>
    <x v="1"/>
    <x v="0"/>
    <x v="9"/>
    <x v="1"/>
    <x v="10"/>
    <x v="1"/>
  </r>
  <r>
    <s v="TX501923"/>
    <x v="2"/>
    <x v="13"/>
    <n v="85.7"/>
    <n v="514.20000000000005"/>
    <x v="70"/>
    <x v="64"/>
    <x v="1"/>
    <x v="3"/>
    <x v="2"/>
    <x v="0"/>
    <x v="9"/>
    <x v="3"/>
    <x v="10"/>
    <x v="1"/>
  </r>
  <r>
    <s v="TX501924"/>
    <x v="2"/>
    <x v="2"/>
    <n v="86.9"/>
    <n v="260.70000000000005"/>
    <x v="70"/>
    <x v="67"/>
    <x v="2"/>
    <x v="1"/>
    <x v="0"/>
    <x v="0"/>
    <x v="11"/>
    <x v="1"/>
    <x v="10"/>
    <x v="2"/>
  </r>
  <r>
    <s v="TX501925"/>
    <x v="18"/>
    <x v="1"/>
    <n v="46.4"/>
    <n v="92.8"/>
    <x v="70"/>
    <x v="72"/>
    <x v="2"/>
    <x v="4"/>
    <x v="0"/>
    <x v="0"/>
    <x v="11"/>
    <x v="2"/>
    <x v="10"/>
    <x v="2"/>
  </r>
  <r>
    <s v="TX501926"/>
    <x v="5"/>
    <x v="2"/>
    <n v="25.4"/>
    <n v="76.199999999999989"/>
    <x v="70"/>
    <x v="74"/>
    <x v="2"/>
    <x v="2"/>
    <x v="2"/>
    <x v="0"/>
    <x v="18"/>
    <x v="7"/>
    <x v="10"/>
    <x v="2"/>
  </r>
  <r>
    <s v="TX501927"/>
    <x v="10"/>
    <x v="2"/>
    <n v="47.8"/>
    <n v="143.39999999999998"/>
    <x v="70"/>
    <x v="74"/>
    <x v="0"/>
    <x v="2"/>
    <x v="2"/>
    <x v="0"/>
    <x v="19"/>
    <x v="7"/>
    <x v="10"/>
    <x v="0"/>
  </r>
  <r>
    <s v="TX501928"/>
    <x v="8"/>
    <x v="10"/>
    <n v="18.399999999999999"/>
    <n v="349.59999999999997"/>
    <x v="70"/>
    <x v="67"/>
    <x v="3"/>
    <x v="2"/>
    <x v="0"/>
    <x v="0"/>
    <x v="20"/>
    <x v="1"/>
    <x v="10"/>
    <x v="3"/>
  </r>
  <r>
    <s v="TX501929"/>
    <x v="12"/>
    <x v="2"/>
    <n v="65.5"/>
    <n v="196.5"/>
    <x v="70"/>
    <x v="78"/>
    <x v="2"/>
    <x v="0"/>
    <x v="0"/>
    <x v="0"/>
    <x v="21"/>
    <x v="9"/>
    <x v="10"/>
    <x v="2"/>
  </r>
  <r>
    <s v="TX501930"/>
    <x v="10"/>
    <x v="1"/>
    <n v="50.6"/>
    <n v="101.2"/>
    <x v="70"/>
    <x v="72"/>
    <x v="1"/>
    <x v="2"/>
    <x v="4"/>
    <x v="0"/>
    <x v="21"/>
    <x v="2"/>
    <x v="10"/>
    <x v="1"/>
  </r>
  <r>
    <s v="TX501931"/>
    <x v="3"/>
    <x v="9"/>
    <n v="69"/>
    <n v="345"/>
    <x v="70"/>
    <x v="69"/>
    <x v="1"/>
    <x v="3"/>
    <x v="0"/>
    <x v="0"/>
    <x v="21"/>
    <x v="5"/>
    <x v="10"/>
    <x v="1"/>
  </r>
  <r>
    <s v="TX501932"/>
    <x v="9"/>
    <x v="8"/>
    <n v="51.1"/>
    <n v="408.8"/>
    <x v="70"/>
    <x v="67"/>
    <x v="2"/>
    <x v="0"/>
    <x v="0"/>
    <x v="0"/>
    <x v="1"/>
    <x v="1"/>
    <x v="10"/>
    <x v="2"/>
  </r>
  <r>
    <s v="TX501933"/>
    <x v="9"/>
    <x v="0"/>
    <n v="36.1"/>
    <n v="36.1"/>
    <x v="70"/>
    <x v="64"/>
    <x v="2"/>
    <x v="0"/>
    <x v="2"/>
    <x v="0"/>
    <x v="34"/>
    <x v="3"/>
    <x v="10"/>
    <x v="2"/>
  </r>
  <r>
    <s v="TX501934"/>
    <x v="14"/>
    <x v="0"/>
    <n v="18.7"/>
    <n v="18.7"/>
    <x v="70"/>
    <x v="64"/>
    <x v="1"/>
    <x v="0"/>
    <x v="0"/>
    <x v="0"/>
    <x v="3"/>
    <x v="3"/>
    <x v="10"/>
    <x v="1"/>
  </r>
  <r>
    <s v="TX501935"/>
    <x v="17"/>
    <x v="0"/>
    <n v="30.1"/>
    <n v="30.1"/>
    <x v="70"/>
    <x v="72"/>
    <x v="2"/>
    <x v="3"/>
    <x v="1"/>
    <x v="0"/>
    <x v="3"/>
    <x v="2"/>
    <x v="10"/>
    <x v="2"/>
  </r>
  <r>
    <s v="TX501936"/>
    <x v="8"/>
    <x v="0"/>
    <n v="16.3"/>
    <n v="16.3"/>
    <x v="70"/>
    <x v="64"/>
    <x v="1"/>
    <x v="3"/>
    <x v="0"/>
    <x v="0"/>
    <x v="3"/>
    <x v="3"/>
    <x v="10"/>
    <x v="1"/>
  </r>
  <r>
    <s v="TX501937"/>
    <x v="1"/>
    <x v="2"/>
    <n v="63.8"/>
    <n v="191.39999999999998"/>
    <x v="70"/>
    <x v="76"/>
    <x v="2"/>
    <x v="2"/>
    <x v="1"/>
    <x v="0"/>
    <x v="3"/>
    <x v="0"/>
    <x v="10"/>
    <x v="2"/>
  </r>
  <r>
    <s v="TX501938"/>
    <x v="1"/>
    <x v="3"/>
    <n v="73.900000000000006"/>
    <n v="517.30000000000007"/>
    <x v="70"/>
    <x v="74"/>
    <x v="2"/>
    <x v="0"/>
    <x v="1"/>
    <x v="0"/>
    <x v="3"/>
    <x v="7"/>
    <x v="10"/>
    <x v="2"/>
  </r>
  <r>
    <s v="TX501939"/>
    <x v="0"/>
    <x v="1"/>
    <n v="20.2"/>
    <n v="40.4"/>
    <x v="70"/>
    <x v="64"/>
    <x v="1"/>
    <x v="0"/>
    <x v="1"/>
    <x v="0"/>
    <x v="3"/>
    <x v="3"/>
    <x v="10"/>
    <x v="1"/>
  </r>
  <r>
    <s v="TX501940"/>
    <x v="11"/>
    <x v="5"/>
    <n v="29.5"/>
    <n v="324.5"/>
    <x v="70"/>
    <x v="64"/>
    <x v="1"/>
    <x v="0"/>
    <x v="0"/>
    <x v="0"/>
    <x v="3"/>
    <x v="3"/>
    <x v="10"/>
    <x v="1"/>
  </r>
  <r>
    <s v="TX501941"/>
    <x v="15"/>
    <x v="3"/>
    <n v="37.9"/>
    <n v="265.3"/>
    <x v="70"/>
    <x v="64"/>
    <x v="1"/>
    <x v="1"/>
    <x v="0"/>
    <x v="0"/>
    <x v="3"/>
    <x v="3"/>
    <x v="10"/>
    <x v="1"/>
  </r>
  <r>
    <s v="TX501942"/>
    <x v="2"/>
    <x v="0"/>
    <n v="56.5"/>
    <n v="56.5"/>
    <x v="70"/>
    <x v="64"/>
    <x v="2"/>
    <x v="2"/>
    <x v="1"/>
    <x v="0"/>
    <x v="3"/>
    <x v="3"/>
    <x v="10"/>
    <x v="2"/>
  </r>
  <r>
    <s v="TX501943"/>
    <x v="2"/>
    <x v="1"/>
    <n v="66.900000000000006"/>
    <n v="133.80000000000001"/>
    <x v="70"/>
    <x v="73"/>
    <x v="1"/>
    <x v="1"/>
    <x v="4"/>
    <x v="0"/>
    <x v="25"/>
    <x v="4"/>
    <x v="10"/>
    <x v="1"/>
  </r>
  <r>
    <s v="TX501944"/>
    <x v="2"/>
    <x v="9"/>
    <n v="51.9"/>
    <n v="259.5"/>
    <x v="70"/>
    <x v="72"/>
    <x v="1"/>
    <x v="1"/>
    <x v="0"/>
    <x v="0"/>
    <x v="7"/>
    <x v="2"/>
    <x v="10"/>
    <x v="1"/>
  </r>
  <r>
    <s v="TX501945"/>
    <x v="2"/>
    <x v="1"/>
    <n v="75.599999999999994"/>
    <n v="151.19999999999999"/>
    <x v="70"/>
    <x v="72"/>
    <x v="1"/>
    <x v="1"/>
    <x v="0"/>
    <x v="0"/>
    <x v="8"/>
    <x v="2"/>
    <x v="10"/>
    <x v="1"/>
  </r>
  <r>
    <s v="TX501946"/>
    <x v="12"/>
    <x v="13"/>
    <n v="47.3"/>
    <n v="283.79999999999995"/>
    <x v="70"/>
    <x v="79"/>
    <x v="1"/>
    <x v="0"/>
    <x v="0"/>
    <x v="0"/>
    <x v="8"/>
    <x v="11"/>
    <x v="10"/>
    <x v="1"/>
  </r>
  <r>
    <s v="TX501947"/>
    <x v="4"/>
    <x v="0"/>
    <n v="20.6"/>
    <n v="20.6"/>
    <x v="70"/>
    <x v="64"/>
    <x v="0"/>
    <x v="0"/>
    <x v="1"/>
    <x v="0"/>
    <x v="8"/>
    <x v="3"/>
    <x v="10"/>
    <x v="0"/>
  </r>
  <r>
    <s v="TX501948"/>
    <x v="6"/>
    <x v="2"/>
    <n v="49.7"/>
    <n v="149.10000000000002"/>
    <x v="70"/>
    <x v="67"/>
    <x v="1"/>
    <x v="0"/>
    <x v="1"/>
    <x v="0"/>
    <x v="8"/>
    <x v="1"/>
    <x v="10"/>
    <x v="1"/>
  </r>
  <r>
    <s v="TX501949"/>
    <x v="3"/>
    <x v="0"/>
    <n v="37.9"/>
    <n v="37.9"/>
    <x v="70"/>
    <x v="67"/>
    <x v="2"/>
    <x v="0"/>
    <x v="0"/>
    <x v="0"/>
    <x v="8"/>
    <x v="1"/>
    <x v="10"/>
    <x v="2"/>
  </r>
  <r>
    <s v="TX501950"/>
    <x v="13"/>
    <x v="20"/>
    <n v="32"/>
    <n v="480"/>
    <x v="70"/>
    <x v="67"/>
    <x v="2"/>
    <x v="4"/>
    <x v="0"/>
    <x v="0"/>
    <x v="11"/>
    <x v="1"/>
    <x v="10"/>
    <x v="2"/>
  </r>
  <r>
    <s v="TX501951"/>
    <x v="10"/>
    <x v="16"/>
    <n v="38.5"/>
    <n v="693"/>
    <x v="71"/>
    <x v="67"/>
    <x v="1"/>
    <x v="0"/>
    <x v="2"/>
    <x v="0"/>
    <x v="11"/>
    <x v="3"/>
    <x v="10"/>
    <x v="1"/>
  </r>
  <r>
    <s v="TX501952"/>
    <x v="0"/>
    <x v="12"/>
    <n v="11.7"/>
    <n v="46.8"/>
    <x v="71"/>
    <x v="72"/>
    <x v="2"/>
    <x v="1"/>
    <x v="0"/>
    <x v="0"/>
    <x v="20"/>
    <x v="1"/>
    <x v="10"/>
    <x v="2"/>
  </r>
  <r>
    <s v="TX501953"/>
    <x v="3"/>
    <x v="13"/>
    <n v="83.8"/>
    <n v="502.79999999999995"/>
    <x v="71"/>
    <x v="67"/>
    <x v="1"/>
    <x v="0"/>
    <x v="0"/>
    <x v="0"/>
    <x v="21"/>
    <x v="3"/>
    <x v="10"/>
    <x v="1"/>
  </r>
  <r>
    <s v="TX501954"/>
    <x v="0"/>
    <x v="3"/>
    <n v="14"/>
    <n v="98"/>
    <x v="71"/>
    <x v="69"/>
    <x v="1"/>
    <x v="0"/>
    <x v="1"/>
    <x v="0"/>
    <x v="22"/>
    <x v="2"/>
    <x v="10"/>
    <x v="1"/>
  </r>
  <r>
    <s v="TX501955"/>
    <x v="16"/>
    <x v="12"/>
    <n v="77.3"/>
    <n v="309.2"/>
    <x v="71"/>
    <x v="72"/>
    <x v="2"/>
    <x v="4"/>
    <x v="2"/>
    <x v="0"/>
    <x v="3"/>
    <x v="1"/>
    <x v="10"/>
    <x v="2"/>
  </r>
  <r>
    <s v="TX501956"/>
    <x v="2"/>
    <x v="1"/>
    <n v="76.900000000000006"/>
    <n v="153.80000000000001"/>
    <x v="71"/>
    <x v="76"/>
    <x v="2"/>
    <x v="0"/>
    <x v="1"/>
    <x v="0"/>
    <x v="3"/>
    <x v="5"/>
    <x v="10"/>
    <x v="2"/>
  </r>
  <r>
    <s v="TX501957"/>
    <x v="1"/>
    <x v="0"/>
    <n v="48"/>
    <n v="48"/>
    <x v="71"/>
    <x v="72"/>
    <x v="2"/>
    <x v="1"/>
    <x v="2"/>
    <x v="0"/>
    <x v="3"/>
    <x v="1"/>
    <x v="10"/>
    <x v="2"/>
  </r>
  <r>
    <s v="TX501958"/>
    <x v="2"/>
    <x v="0"/>
    <n v="94.5"/>
    <n v="94.5"/>
    <x v="71"/>
    <x v="69"/>
    <x v="1"/>
    <x v="1"/>
    <x v="1"/>
    <x v="0"/>
    <x v="3"/>
    <x v="2"/>
    <x v="10"/>
    <x v="1"/>
  </r>
  <r>
    <s v="TX501959"/>
    <x v="10"/>
    <x v="2"/>
    <n v="58.4"/>
    <n v="175.2"/>
    <x v="71"/>
    <x v="72"/>
    <x v="2"/>
    <x v="1"/>
    <x v="2"/>
    <x v="0"/>
    <x v="3"/>
    <x v="1"/>
    <x v="10"/>
    <x v="2"/>
  </r>
  <r>
    <s v="TX501960"/>
    <x v="7"/>
    <x v="15"/>
    <n v="42.2"/>
    <n v="548.6"/>
    <x v="71"/>
    <x v="64"/>
    <x v="1"/>
    <x v="0"/>
    <x v="0"/>
    <x v="0"/>
    <x v="25"/>
    <x v="7"/>
    <x v="10"/>
    <x v="1"/>
  </r>
  <r>
    <s v="TX501961"/>
    <x v="6"/>
    <x v="1"/>
    <n v="152.19999999999999"/>
    <n v="304.39999999999998"/>
    <x v="71"/>
    <x v="67"/>
    <x v="1"/>
    <x v="4"/>
    <x v="1"/>
    <x v="0"/>
    <x v="25"/>
    <x v="3"/>
    <x v="10"/>
    <x v="1"/>
  </r>
  <r>
    <s v="TX501962"/>
    <x v="6"/>
    <x v="25"/>
    <n v="72"/>
    <n v="1728"/>
    <x v="71"/>
    <x v="67"/>
    <x v="1"/>
    <x v="0"/>
    <x v="1"/>
    <x v="0"/>
    <x v="6"/>
    <x v="3"/>
    <x v="10"/>
    <x v="1"/>
  </r>
  <r>
    <s v="TX501963"/>
    <x v="1"/>
    <x v="44"/>
    <n v="70.900000000000006"/>
    <n v="1630.7"/>
    <x v="71"/>
    <x v="67"/>
    <x v="2"/>
    <x v="2"/>
    <x v="0"/>
    <x v="0"/>
    <x v="8"/>
    <x v="3"/>
    <x v="10"/>
    <x v="2"/>
  </r>
  <r>
    <s v="TX501964"/>
    <x v="2"/>
    <x v="1"/>
    <n v="53.7"/>
    <n v="107.4"/>
    <x v="71"/>
    <x v="67"/>
    <x v="1"/>
    <x v="2"/>
    <x v="2"/>
    <x v="0"/>
    <x v="8"/>
    <x v="3"/>
    <x v="10"/>
    <x v="1"/>
  </r>
  <r>
    <s v="TX501965"/>
    <x v="9"/>
    <x v="12"/>
    <n v="42.9"/>
    <n v="171.6"/>
    <x v="71"/>
    <x v="67"/>
    <x v="2"/>
    <x v="2"/>
    <x v="4"/>
    <x v="0"/>
    <x v="9"/>
    <x v="3"/>
    <x v="10"/>
    <x v="2"/>
  </r>
  <r>
    <s v="TX501966"/>
    <x v="2"/>
    <x v="3"/>
    <n v="107.5"/>
    <n v="752.5"/>
    <x v="71"/>
    <x v="67"/>
    <x v="1"/>
    <x v="1"/>
    <x v="0"/>
    <x v="0"/>
    <x v="11"/>
    <x v="3"/>
    <x v="10"/>
    <x v="1"/>
  </r>
  <r>
    <s v="TX501967"/>
    <x v="17"/>
    <x v="27"/>
    <n v="21.5"/>
    <n v="344"/>
    <x v="71"/>
    <x v="67"/>
    <x v="1"/>
    <x v="1"/>
    <x v="1"/>
    <x v="0"/>
    <x v="32"/>
    <x v="3"/>
    <x v="10"/>
    <x v="1"/>
  </r>
  <r>
    <s v="TX501968"/>
    <x v="3"/>
    <x v="9"/>
    <n v="85.3"/>
    <n v="426.5"/>
    <x v="71"/>
    <x v="72"/>
    <x v="2"/>
    <x v="3"/>
    <x v="0"/>
    <x v="0"/>
    <x v="18"/>
    <x v="1"/>
    <x v="10"/>
    <x v="2"/>
  </r>
  <r>
    <s v="TX501969"/>
    <x v="7"/>
    <x v="9"/>
    <n v="80.8"/>
    <n v="404"/>
    <x v="71"/>
    <x v="75"/>
    <x v="3"/>
    <x v="1"/>
    <x v="1"/>
    <x v="0"/>
    <x v="19"/>
    <x v="9"/>
    <x v="10"/>
    <x v="3"/>
  </r>
  <r>
    <s v="TX501970"/>
    <x v="2"/>
    <x v="2"/>
    <n v="123.1"/>
    <n v="369.29999999999995"/>
    <x v="71"/>
    <x v="72"/>
    <x v="0"/>
    <x v="2"/>
    <x v="0"/>
    <x v="0"/>
    <x v="21"/>
    <x v="1"/>
    <x v="10"/>
    <x v="0"/>
  </r>
  <r>
    <s v="TX501971"/>
    <x v="8"/>
    <x v="1"/>
    <n v="36.9"/>
    <n v="73.8"/>
    <x v="71"/>
    <x v="72"/>
    <x v="2"/>
    <x v="2"/>
    <x v="4"/>
    <x v="0"/>
    <x v="51"/>
    <x v="1"/>
    <x v="10"/>
    <x v="2"/>
  </r>
  <r>
    <s v="TX501972"/>
    <x v="11"/>
    <x v="9"/>
    <n v="40"/>
    <n v="200"/>
    <x v="71"/>
    <x v="67"/>
    <x v="1"/>
    <x v="0"/>
    <x v="0"/>
    <x v="0"/>
    <x v="1"/>
    <x v="3"/>
    <x v="10"/>
    <x v="1"/>
  </r>
  <r>
    <s v="TX501973"/>
    <x v="6"/>
    <x v="2"/>
    <n v="55.5"/>
    <n v="166.5"/>
    <x v="71"/>
    <x v="67"/>
    <x v="1"/>
    <x v="4"/>
    <x v="2"/>
    <x v="0"/>
    <x v="1"/>
    <x v="3"/>
    <x v="10"/>
    <x v="1"/>
  </r>
  <r>
    <s v="TX501974"/>
    <x v="0"/>
    <x v="12"/>
    <n v="20.5"/>
    <n v="82"/>
    <x v="71"/>
    <x v="76"/>
    <x v="2"/>
    <x v="4"/>
    <x v="0"/>
    <x v="0"/>
    <x v="1"/>
    <x v="5"/>
    <x v="10"/>
    <x v="2"/>
  </r>
  <r>
    <s v="TX501975"/>
    <x v="18"/>
    <x v="12"/>
    <n v="50.1"/>
    <n v="200.4"/>
    <x v="71"/>
    <x v="67"/>
    <x v="2"/>
    <x v="4"/>
    <x v="0"/>
    <x v="0"/>
    <x v="1"/>
    <x v="3"/>
    <x v="10"/>
    <x v="2"/>
  </r>
  <r>
    <s v="TX501976"/>
    <x v="9"/>
    <x v="0"/>
    <n v="35.9"/>
    <n v="35.9"/>
    <x v="71"/>
    <x v="72"/>
    <x v="1"/>
    <x v="1"/>
    <x v="2"/>
    <x v="0"/>
    <x v="1"/>
    <x v="1"/>
    <x v="10"/>
    <x v="1"/>
  </r>
  <r>
    <s v="TX501977"/>
    <x v="13"/>
    <x v="12"/>
    <n v="29.4"/>
    <n v="117.6"/>
    <x v="72"/>
    <x v="72"/>
    <x v="1"/>
    <x v="2"/>
    <x v="2"/>
    <x v="0"/>
    <x v="33"/>
    <x v="3"/>
    <x v="10"/>
    <x v="1"/>
  </r>
  <r>
    <s v="TX501978"/>
    <x v="8"/>
    <x v="9"/>
    <n v="29.1"/>
    <n v="145.5"/>
    <x v="72"/>
    <x v="80"/>
    <x v="3"/>
    <x v="2"/>
    <x v="1"/>
    <x v="0"/>
    <x v="33"/>
    <x v="9"/>
    <x v="10"/>
    <x v="3"/>
  </r>
  <r>
    <s v="TX501979"/>
    <x v="8"/>
    <x v="2"/>
    <n v="33.5"/>
    <n v="100.5"/>
    <x v="72"/>
    <x v="81"/>
    <x v="1"/>
    <x v="0"/>
    <x v="2"/>
    <x v="0"/>
    <x v="22"/>
    <x v="13"/>
    <x v="10"/>
    <x v="1"/>
  </r>
  <r>
    <s v="TX501980"/>
    <x v="4"/>
    <x v="7"/>
    <n v="36"/>
    <n v="360"/>
    <x v="72"/>
    <x v="67"/>
    <x v="1"/>
    <x v="3"/>
    <x v="2"/>
    <x v="0"/>
    <x v="3"/>
    <x v="7"/>
    <x v="10"/>
    <x v="1"/>
  </r>
  <r>
    <s v="TX501981"/>
    <x v="16"/>
    <x v="2"/>
    <n v="57.3"/>
    <n v="171.89999999999998"/>
    <x v="72"/>
    <x v="73"/>
    <x v="2"/>
    <x v="0"/>
    <x v="2"/>
    <x v="0"/>
    <x v="3"/>
    <x v="5"/>
    <x v="10"/>
    <x v="2"/>
  </r>
  <r>
    <s v="TX501982"/>
    <x v="1"/>
    <x v="0"/>
    <n v="81.400000000000006"/>
    <n v="81.400000000000006"/>
    <x v="72"/>
    <x v="72"/>
    <x v="2"/>
    <x v="2"/>
    <x v="2"/>
    <x v="0"/>
    <x v="3"/>
    <x v="3"/>
    <x v="10"/>
    <x v="2"/>
  </r>
  <r>
    <s v="TX501983"/>
    <x v="10"/>
    <x v="1"/>
    <n v="35.299999999999997"/>
    <n v="70.599999999999994"/>
    <x v="72"/>
    <x v="73"/>
    <x v="1"/>
    <x v="0"/>
    <x v="2"/>
    <x v="0"/>
    <x v="3"/>
    <x v="5"/>
    <x v="10"/>
    <x v="1"/>
  </r>
  <r>
    <s v="TX501984"/>
    <x v="3"/>
    <x v="0"/>
    <n v="36.1"/>
    <n v="36.1"/>
    <x v="72"/>
    <x v="72"/>
    <x v="2"/>
    <x v="4"/>
    <x v="0"/>
    <x v="0"/>
    <x v="3"/>
    <x v="3"/>
    <x v="10"/>
    <x v="2"/>
  </r>
  <r>
    <s v="TX501985"/>
    <x v="1"/>
    <x v="1"/>
    <n v="36.700000000000003"/>
    <n v="73.400000000000006"/>
    <x v="72"/>
    <x v="69"/>
    <x v="2"/>
    <x v="0"/>
    <x v="2"/>
    <x v="0"/>
    <x v="3"/>
    <x v="1"/>
    <x v="10"/>
    <x v="2"/>
  </r>
  <r>
    <s v="TX501986"/>
    <x v="10"/>
    <x v="0"/>
    <n v="20.9"/>
    <n v="20.9"/>
    <x v="72"/>
    <x v="69"/>
    <x v="2"/>
    <x v="0"/>
    <x v="4"/>
    <x v="0"/>
    <x v="3"/>
    <x v="1"/>
    <x v="10"/>
    <x v="2"/>
  </r>
  <r>
    <s v="TX501987"/>
    <x v="12"/>
    <x v="2"/>
    <n v="58.8"/>
    <n v="176.39999999999998"/>
    <x v="72"/>
    <x v="73"/>
    <x v="1"/>
    <x v="0"/>
    <x v="2"/>
    <x v="0"/>
    <x v="25"/>
    <x v="5"/>
    <x v="10"/>
    <x v="1"/>
  </r>
  <r>
    <s v="TX501988"/>
    <x v="2"/>
    <x v="2"/>
    <n v="97.6"/>
    <n v="292.79999999999995"/>
    <x v="73"/>
    <x v="76"/>
    <x v="0"/>
    <x v="0"/>
    <x v="0"/>
    <x v="0"/>
    <x v="6"/>
    <x v="1"/>
    <x v="10"/>
    <x v="0"/>
  </r>
  <r>
    <s v="TX501989"/>
    <x v="1"/>
    <x v="1"/>
    <n v="58.7"/>
    <n v="117.4"/>
    <x v="73"/>
    <x v="73"/>
    <x v="2"/>
    <x v="0"/>
    <x v="1"/>
    <x v="0"/>
    <x v="6"/>
    <x v="2"/>
    <x v="10"/>
    <x v="2"/>
  </r>
  <r>
    <s v="TX501990"/>
    <x v="6"/>
    <x v="9"/>
    <n v="71.900000000000006"/>
    <n v="359.5"/>
    <x v="73"/>
    <x v="69"/>
    <x v="0"/>
    <x v="0"/>
    <x v="1"/>
    <x v="0"/>
    <x v="6"/>
    <x v="3"/>
    <x v="10"/>
    <x v="0"/>
  </r>
  <r>
    <s v="TX501991"/>
    <x v="1"/>
    <x v="1"/>
    <n v="62.4"/>
    <n v="124.8"/>
    <x v="73"/>
    <x v="76"/>
    <x v="0"/>
    <x v="0"/>
    <x v="1"/>
    <x v="0"/>
    <x v="8"/>
    <x v="1"/>
    <x v="10"/>
    <x v="0"/>
  </r>
  <r>
    <s v="TX501992"/>
    <x v="6"/>
    <x v="27"/>
    <n v="53.8"/>
    <n v="860.8"/>
    <x v="73"/>
    <x v="69"/>
    <x v="2"/>
    <x v="1"/>
    <x v="0"/>
    <x v="0"/>
    <x v="8"/>
    <x v="3"/>
    <x v="10"/>
    <x v="2"/>
  </r>
  <r>
    <s v="TX501993"/>
    <x v="9"/>
    <x v="0"/>
    <n v="43.8"/>
    <n v="43.8"/>
    <x v="73"/>
    <x v="80"/>
    <x v="2"/>
    <x v="0"/>
    <x v="2"/>
    <x v="0"/>
    <x v="8"/>
    <x v="6"/>
    <x v="10"/>
    <x v="2"/>
  </r>
  <r>
    <s v="TX501994"/>
    <x v="5"/>
    <x v="2"/>
    <n v="53.6"/>
    <n v="160.80000000000001"/>
    <x v="73"/>
    <x v="69"/>
    <x v="1"/>
    <x v="3"/>
    <x v="0"/>
    <x v="0"/>
    <x v="8"/>
    <x v="3"/>
    <x v="10"/>
    <x v="1"/>
  </r>
  <r>
    <s v="TX501995"/>
    <x v="12"/>
    <x v="1"/>
    <n v="84.3"/>
    <n v="168.6"/>
    <x v="73"/>
    <x v="73"/>
    <x v="1"/>
    <x v="4"/>
    <x v="1"/>
    <x v="0"/>
    <x v="8"/>
    <x v="2"/>
    <x v="10"/>
    <x v="1"/>
  </r>
  <r>
    <s v="TX501996"/>
    <x v="6"/>
    <x v="11"/>
    <n v="117.9"/>
    <n v="1061.1000000000001"/>
    <x v="73"/>
    <x v="69"/>
    <x v="2"/>
    <x v="1"/>
    <x v="2"/>
    <x v="0"/>
    <x v="8"/>
    <x v="3"/>
    <x v="10"/>
    <x v="2"/>
  </r>
  <r>
    <s v="TX501997"/>
    <x v="4"/>
    <x v="8"/>
    <n v="30"/>
    <n v="240"/>
    <x v="73"/>
    <x v="69"/>
    <x v="2"/>
    <x v="1"/>
    <x v="0"/>
    <x v="0"/>
    <x v="26"/>
    <x v="3"/>
    <x v="10"/>
    <x v="2"/>
  </r>
  <r>
    <s v="TX501998"/>
    <x v="14"/>
    <x v="2"/>
    <n v="37.299999999999997"/>
    <n v="111.89999999999999"/>
    <x v="73"/>
    <x v="69"/>
    <x v="1"/>
    <x v="2"/>
    <x v="0"/>
    <x v="0"/>
    <x v="9"/>
    <x v="3"/>
    <x v="10"/>
    <x v="1"/>
  </r>
  <r>
    <s v="TX501999"/>
    <x v="4"/>
    <x v="11"/>
    <n v="25.1"/>
    <n v="225.9"/>
    <x v="73"/>
    <x v="76"/>
    <x v="1"/>
    <x v="1"/>
    <x v="2"/>
    <x v="0"/>
    <x v="11"/>
    <x v="1"/>
    <x v="10"/>
    <x v="1"/>
  </r>
  <r>
    <s v="TX502000"/>
    <x v="8"/>
    <x v="5"/>
    <n v="36"/>
    <n v="396"/>
    <x v="73"/>
    <x v="82"/>
    <x v="1"/>
    <x v="1"/>
    <x v="0"/>
    <x v="0"/>
    <x v="18"/>
    <x v="14"/>
    <x v="10"/>
    <x v="1"/>
  </r>
  <r>
    <s v="TX502001"/>
    <x v="16"/>
    <x v="2"/>
    <n v="48.5"/>
    <n v="145.5"/>
    <x v="73"/>
    <x v="83"/>
    <x v="2"/>
    <x v="1"/>
    <x v="0"/>
    <x v="0"/>
    <x v="19"/>
    <x v="5"/>
    <x v="10"/>
    <x v="2"/>
  </r>
  <r>
    <s v="TX502002"/>
    <x v="17"/>
    <x v="13"/>
    <n v="21.1"/>
    <n v="126.60000000000001"/>
    <x v="73"/>
    <x v="69"/>
    <x v="1"/>
    <x v="1"/>
    <x v="2"/>
    <x v="0"/>
    <x v="21"/>
    <x v="3"/>
    <x v="10"/>
    <x v="1"/>
  </r>
  <r>
    <s v="TX502003"/>
    <x v="15"/>
    <x v="21"/>
    <n v="43.2"/>
    <n v="604.80000000000007"/>
    <x v="73"/>
    <x v="69"/>
    <x v="3"/>
    <x v="0"/>
    <x v="1"/>
    <x v="0"/>
    <x v="21"/>
    <x v="3"/>
    <x v="10"/>
    <x v="3"/>
  </r>
  <r>
    <s v="TX502004"/>
    <x v="9"/>
    <x v="1"/>
    <n v="21.1"/>
    <n v="42.2"/>
    <x v="73"/>
    <x v="69"/>
    <x v="0"/>
    <x v="3"/>
    <x v="1"/>
    <x v="0"/>
    <x v="21"/>
    <x v="3"/>
    <x v="10"/>
    <x v="0"/>
  </r>
  <r>
    <s v="TX502005"/>
    <x v="6"/>
    <x v="12"/>
    <n v="41.3"/>
    <n v="165.2"/>
    <x v="73"/>
    <x v="76"/>
    <x v="2"/>
    <x v="3"/>
    <x v="2"/>
    <x v="0"/>
    <x v="1"/>
    <x v="1"/>
    <x v="10"/>
    <x v="2"/>
  </r>
  <r>
    <s v="TX502006"/>
    <x v="8"/>
    <x v="1"/>
    <n v="15.3"/>
    <n v="30.6"/>
    <x v="73"/>
    <x v="73"/>
    <x v="0"/>
    <x v="2"/>
    <x v="2"/>
    <x v="0"/>
    <x v="1"/>
    <x v="2"/>
    <x v="10"/>
    <x v="0"/>
  </r>
  <r>
    <s v="TX502007"/>
    <x v="1"/>
    <x v="0"/>
    <n v="54.6"/>
    <n v="54.6"/>
    <x v="73"/>
    <x v="76"/>
    <x v="1"/>
    <x v="1"/>
    <x v="1"/>
    <x v="0"/>
    <x v="2"/>
    <x v="1"/>
    <x v="10"/>
    <x v="1"/>
  </r>
  <r>
    <s v="TX502008"/>
    <x v="8"/>
    <x v="0"/>
    <n v="15.9"/>
    <n v="15.9"/>
    <x v="73"/>
    <x v="69"/>
    <x v="1"/>
    <x v="0"/>
    <x v="1"/>
    <x v="0"/>
    <x v="22"/>
    <x v="3"/>
    <x v="10"/>
    <x v="1"/>
  </r>
  <r>
    <s v="TX502009"/>
    <x v="9"/>
    <x v="0"/>
    <n v="50.2"/>
    <n v="50.2"/>
    <x v="73"/>
    <x v="76"/>
    <x v="2"/>
    <x v="3"/>
    <x v="2"/>
    <x v="0"/>
    <x v="34"/>
    <x v="1"/>
    <x v="10"/>
    <x v="2"/>
  </r>
  <r>
    <s v="TX502010"/>
    <x v="11"/>
    <x v="12"/>
    <n v="85.1"/>
    <n v="340.4"/>
    <x v="73"/>
    <x v="69"/>
    <x v="2"/>
    <x v="3"/>
    <x v="4"/>
    <x v="0"/>
    <x v="34"/>
    <x v="3"/>
    <x v="10"/>
    <x v="2"/>
  </r>
  <r>
    <s v="TX502011"/>
    <x v="11"/>
    <x v="1"/>
    <n v="41.4"/>
    <n v="82.8"/>
    <x v="73"/>
    <x v="69"/>
    <x v="2"/>
    <x v="0"/>
    <x v="2"/>
    <x v="0"/>
    <x v="3"/>
    <x v="3"/>
    <x v="10"/>
    <x v="2"/>
  </r>
  <r>
    <s v="TX502012"/>
    <x v="4"/>
    <x v="3"/>
    <n v="32.700000000000003"/>
    <n v="228.90000000000003"/>
    <x v="73"/>
    <x v="69"/>
    <x v="2"/>
    <x v="2"/>
    <x v="1"/>
    <x v="0"/>
    <x v="3"/>
    <x v="3"/>
    <x v="10"/>
    <x v="2"/>
  </r>
  <r>
    <s v="TX502013"/>
    <x v="4"/>
    <x v="1"/>
    <n v="41.6"/>
    <n v="83.2"/>
    <x v="73"/>
    <x v="76"/>
    <x v="1"/>
    <x v="4"/>
    <x v="1"/>
    <x v="0"/>
    <x v="3"/>
    <x v="1"/>
    <x v="10"/>
    <x v="1"/>
  </r>
  <r>
    <s v="TX502014"/>
    <x v="5"/>
    <x v="12"/>
    <n v="64.8"/>
    <n v="259.2"/>
    <x v="73"/>
    <x v="69"/>
    <x v="0"/>
    <x v="2"/>
    <x v="0"/>
    <x v="0"/>
    <x v="3"/>
    <x v="3"/>
    <x v="10"/>
    <x v="0"/>
  </r>
  <r>
    <s v="TX502015"/>
    <x v="15"/>
    <x v="1"/>
    <n v="33.6"/>
    <n v="67.2"/>
    <x v="73"/>
    <x v="69"/>
    <x v="1"/>
    <x v="0"/>
    <x v="2"/>
    <x v="0"/>
    <x v="3"/>
    <x v="3"/>
    <x v="10"/>
    <x v="1"/>
  </r>
  <r>
    <s v="TX502016"/>
    <x v="6"/>
    <x v="2"/>
    <n v="100.7"/>
    <n v="302.10000000000002"/>
    <x v="73"/>
    <x v="69"/>
    <x v="0"/>
    <x v="1"/>
    <x v="0"/>
    <x v="0"/>
    <x v="3"/>
    <x v="3"/>
    <x v="10"/>
    <x v="0"/>
  </r>
  <r>
    <s v="TX502017"/>
    <x v="4"/>
    <x v="1"/>
    <n v="49.3"/>
    <n v="98.6"/>
    <x v="74"/>
    <x v="73"/>
    <x v="2"/>
    <x v="4"/>
    <x v="2"/>
    <x v="0"/>
    <x v="3"/>
    <x v="1"/>
    <x v="11"/>
    <x v="2"/>
  </r>
  <r>
    <s v="TX502018"/>
    <x v="2"/>
    <x v="13"/>
    <n v="97"/>
    <n v="582"/>
    <x v="74"/>
    <x v="83"/>
    <x v="1"/>
    <x v="2"/>
    <x v="2"/>
    <x v="0"/>
    <x v="3"/>
    <x v="2"/>
    <x v="11"/>
    <x v="1"/>
  </r>
  <r>
    <s v="TX502019"/>
    <x v="0"/>
    <x v="13"/>
    <n v="25.2"/>
    <n v="151.19999999999999"/>
    <x v="74"/>
    <x v="83"/>
    <x v="2"/>
    <x v="4"/>
    <x v="2"/>
    <x v="0"/>
    <x v="3"/>
    <x v="2"/>
    <x v="11"/>
    <x v="2"/>
  </r>
  <r>
    <s v="TX502020"/>
    <x v="0"/>
    <x v="5"/>
    <n v="12.2"/>
    <n v="134.19999999999999"/>
    <x v="74"/>
    <x v="76"/>
    <x v="0"/>
    <x v="0"/>
    <x v="1"/>
    <x v="0"/>
    <x v="3"/>
    <x v="3"/>
    <x v="11"/>
    <x v="0"/>
  </r>
  <r>
    <s v="TX502021"/>
    <x v="8"/>
    <x v="3"/>
    <n v="38.799999999999997"/>
    <n v="271.59999999999997"/>
    <x v="74"/>
    <x v="73"/>
    <x v="2"/>
    <x v="1"/>
    <x v="1"/>
    <x v="0"/>
    <x v="23"/>
    <x v="1"/>
    <x v="11"/>
    <x v="2"/>
  </r>
  <r>
    <s v="TX502022"/>
    <x v="2"/>
    <x v="12"/>
    <n v="53.2"/>
    <n v="212.8"/>
    <x v="74"/>
    <x v="76"/>
    <x v="1"/>
    <x v="0"/>
    <x v="2"/>
    <x v="0"/>
    <x v="8"/>
    <x v="3"/>
    <x v="11"/>
    <x v="1"/>
  </r>
  <r>
    <s v="TX502023"/>
    <x v="6"/>
    <x v="3"/>
    <n v="151"/>
    <n v="1057"/>
    <x v="74"/>
    <x v="76"/>
    <x v="3"/>
    <x v="1"/>
    <x v="1"/>
    <x v="0"/>
    <x v="8"/>
    <x v="3"/>
    <x v="11"/>
    <x v="3"/>
  </r>
  <r>
    <s v="TX502024"/>
    <x v="1"/>
    <x v="1"/>
    <n v="37.1"/>
    <n v="74.2"/>
    <x v="74"/>
    <x v="76"/>
    <x v="2"/>
    <x v="4"/>
    <x v="0"/>
    <x v="0"/>
    <x v="8"/>
    <x v="3"/>
    <x v="11"/>
    <x v="2"/>
  </r>
  <r>
    <s v="TX502025"/>
    <x v="5"/>
    <x v="1"/>
    <n v="38.9"/>
    <n v="77.8"/>
    <x v="74"/>
    <x v="76"/>
    <x v="1"/>
    <x v="4"/>
    <x v="0"/>
    <x v="0"/>
    <x v="8"/>
    <x v="3"/>
    <x v="11"/>
    <x v="1"/>
  </r>
  <r>
    <s v="TX502026"/>
    <x v="10"/>
    <x v="1"/>
    <n v="35.200000000000003"/>
    <n v="70.400000000000006"/>
    <x v="74"/>
    <x v="76"/>
    <x v="1"/>
    <x v="0"/>
    <x v="2"/>
    <x v="0"/>
    <x v="17"/>
    <x v="3"/>
    <x v="11"/>
    <x v="1"/>
  </r>
  <r>
    <s v="TX502027"/>
    <x v="0"/>
    <x v="1"/>
    <n v="22.3"/>
    <n v="44.6"/>
    <x v="74"/>
    <x v="73"/>
    <x v="2"/>
    <x v="1"/>
    <x v="0"/>
    <x v="0"/>
    <x v="9"/>
    <x v="1"/>
    <x v="11"/>
    <x v="2"/>
  </r>
  <r>
    <s v="TX502028"/>
    <x v="9"/>
    <x v="0"/>
    <n v="43.3"/>
    <n v="43.3"/>
    <x v="74"/>
    <x v="83"/>
    <x v="2"/>
    <x v="0"/>
    <x v="2"/>
    <x v="0"/>
    <x v="11"/>
    <x v="2"/>
    <x v="11"/>
    <x v="2"/>
  </r>
  <r>
    <s v="TX502029"/>
    <x v="6"/>
    <x v="13"/>
    <n v="75.900000000000006"/>
    <n v="455.40000000000003"/>
    <x v="74"/>
    <x v="80"/>
    <x v="1"/>
    <x v="0"/>
    <x v="0"/>
    <x v="0"/>
    <x v="11"/>
    <x v="4"/>
    <x v="11"/>
    <x v="1"/>
  </r>
  <r>
    <s v="TX502030"/>
    <x v="6"/>
    <x v="2"/>
    <n v="78.7"/>
    <n v="236.10000000000002"/>
    <x v="74"/>
    <x v="78"/>
    <x v="2"/>
    <x v="2"/>
    <x v="1"/>
    <x v="0"/>
    <x v="11"/>
    <x v="5"/>
    <x v="11"/>
    <x v="2"/>
  </r>
  <r>
    <s v="TX502031"/>
    <x v="1"/>
    <x v="0"/>
    <n v="66.3"/>
    <n v="66.3"/>
    <x v="74"/>
    <x v="78"/>
    <x v="2"/>
    <x v="0"/>
    <x v="2"/>
    <x v="0"/>
    <x v="19"/>
    <x v="5"/>
    <x v="11"/>
    <x v="2"/>
  </r>
  <r>
    <s v="TX502032"/>
    <x v="8"/>
    <x v="1"/>
    <n v="33.6"/>
    <n v="67.2"/>
    <x v="74"/>
    <x v="69"/>
    <x v="1"/>
    <x v="0"/>
    <x v="1"/>
    <x v="0"/>
    <x v="19"/>
    <x v="7"/>
    <x v="11"/>
    <x v="1"/>
  </r>
  <r>
    <s v="TX502033"/>
    <x v="2"/>
    <x v="3"/>
    <n v="61.4"/>
    <n v="429.8"/>
    <x v="74"/>
    <x v="76"/>
    <x v="1"/>
    <x v="4"/>
    <x v="0"/>
    <x v="0"/>
    <x v="19"/>
    <x v="3"/>
    <x v="11"/>
    <x v="1"/>
  </r>
  <r>
    <s v="TX502034"/>
    <x v="8"/>
    <x v="1"/>
    <n v="17.5"/>
    <n v="35"/>
    <x v="74"/>
    <x v="83"/>
    <x v="2"/>
    <x v="0"/>
    <x v="0"/>
    <x v="0"/>
    <x v="21"/>
    <x v="2"/>
    <x v="11"/>
    <x v="2"/>
  </r>
  <r>
    <s v="TX502035"/>
    <x v="8"/>
    <x v="1"/>
    <n v="32.5"/>
    <n v="65"/>
    <x v="74"/>
    <x v="83"/>
    <x v="2"/>
    <x v="1"/>
    <x v="0"/>
    <x v="0"/>
    <x v="21"/>
    <x v="2"/>
    <x v="11"/>
    <x v="2"/>
  </r>
  <r>
    <s v="TX502036"/>
    <x v="4"/>
    <x v="0"/>
    <n v="34.6"/>
    <n v="34.6"/>
    <x v="74"/>
    <x v="76"/>
    <x v="2"/>
    <x v="4"/>
    <x v="0"/>
    <x v="0"/>
    <x v="21"/>
    <x v="3"/>
    <x v="11"/>
    <x v="2"/>
  </r>
  <r>
    <s v="TX502037"/>
    <x v="2"/>
    <x v="0"/>
    <n v="75.900000000000006"/>
    <n v="75.900000000000006"/>
    <x v="74"/>
    <x v="69"/>
    <x v="1"/>
    <x v="1"/>
    <x v="2"/>
    <x v="0"/>
    <x v="21"/>
    <x v="7"/>
    <x v="11"/>
    <x v="1"/>
  </r>
  <r>
    <s v="TX502038"/>
    <x v="1"/>
    <x v="2"/>
    <n v="42.1"/>
    <n v="126.30000000000001"/>
    <x v="74"/>
    <x v="83"/>
    <x v="1"/>
    <x v="1"/>
    <x v="1"/>
    <x v="0"/>
    <x v="21"/>
    <x v="2"/>
    <x v="11"/>
    <x v="1"/>
  </r>
  <r>
    <s v="TX502039"/>
    <x v="7"/>
    <x v="2"/>
    <n v="65.3"/>
    <n v="195.89999999999998"/>
    <x v="74"/>
    <x v="79"/>
    <x v="1"/>
    <x v="0"/>
    <x v="0"/>
    <x v="0"/>
    <x v="1"/>
    <x v="6"/>
    <x v="11"/>
    <x v="1"/>
  </r>
  <r>
    <s v="TX502040"/>
    <x v="15"/>
    <x v="0"/>
    <n v="20.6"/>
    <n v="20.6"/>
    <x v="74"/>
    <x v="83"/>
    <x v="1"/>
    <x v="3"/>
    <x v="0"/>
    <x v="0"/>
    <x v="42"/>
    <x v="2"/>
    <x v="11"/>
    <x v="1"/>
  </r>
  <r>
    <s v="TX502041"/>
    <x v="8"/>
    <x v="3"/>
    <n v="16.5"/>
    <n v="115.5"/>
    <x v="74"/>
    <x v="76"/>
    <x v="1"/>
    <x v="1"/>
    <x v="1"/>
    <x v="0"/>
    <x v="2"/>
    <x v="3"/>
    <x v="11"/>
    <x v="1"/>
  </r>
  <r>
    <s v="TX502042"/>
    <x v="16"/>
    <x v="7"/>
    <n v="36.200000000000003"/>
    <n v="362"/>
    <x v="74"/>
    <x v="73"/>
    <x v="1"/>
    <x v="0"/>
    <x v="2"/>
    <x v="0"/>
    <x v="2"/>
    <x v="1"/>
    <x v="11"/>
    <x v="1"/>
  </r>
  <r>
    <s v="TX502043"/>
    <x v="6"/>
    <x v="0"/>
    <n v="53.2"/>
    <n v="53.2"/>
    <x v="74"/>
    <x v="76"/>
    <x v="2"/>
    <x v="0"/>
    <x v="1"/>
    <x v="0"/>
    <x v="22"/>
    <x v="3"/>
    <x v="11"/>
    <x v="2"/>
  </r>
  <r>
    <s v="TX502044"/>
    <x v="2"/>
    <x v="21"/>
    <n v="176"/>
    <n v="2464"/>
    <x v="74"/>
    <x v="76"/>
    <x v="2"/>
    <x v="0"/>
    <x v="1"/>
    <x v="0"/>
    <x v="3"/>
    <x v="3"/>
    <x v="11"/>
    <x v="2"/>
  </r>
  <r>
    <s v="TX502045"/>
    <x v="1"/>
    <x v="0"/>
    <n v="52.4"/>
    <n v="52.4"/>
    <x v="74"/>
    <x v="76"/>
    <x v="1"/>
    <x v="1"/>
    <x v="0"/>
    <x v="0"/>
    <x v="3"/>
    <x v="3"/>
    <x v="11"/>
    <x v="1"/>
  </r>
  <r>
    <s v="TX502046"/>
    <x v="10"/>
    <x v="2"/>
    <n v="48.2"/>
    <n v="144.60000000000002"/>
    <x v="74"/>
    <x v="76"/>
    <x v="2"/>
    <x v="1"/>
    <x v="2"/>
    <x v="0"/>
    <x v="3"/>
    <x v="3"/>
    <x v="11"/>
    <x v="2"/>
  </r>
  <r>
    <s v="TX502047"/>
    <x v="15"/>
    <x v="0"/>
    <n v="51.6"/>
    <n v="51.6"/>
    <x v="74"/>
    <x v="78"/>
    <x v="2"/>
    <x v="2"/>
    <x v="1"/>
    <x v="0"/>
    <x v="3"/>
    <x v="5"/>
    <x v="11"/>
    <x v="2"/>
  </r>
  <r>
    <s v="TX502048"/>
    <x v="0"/>
    <x v="12"/>
    <n v="33.700000000000003"/>
    <n v="134.80000000000001"/>
    <x v="75"/>
    <x v="73"/>
    <x v="1"/>
    <x v="0"/>
    <x v="0"/>
    <x v="0"/>
    <x v="3"/>
    <x v="3"/>
    <x v="11"/>
    <x v="1"/>
  </r>
  <r>
    <s v="TX502049"/>
    <x v="4"/>
    <x v="7"/>
    <n v="36.299999999999997"/>
    <n v="363"/>
    <x v="75"/>
    <x v="83"/>
    <x v="2"/>
    <x v="4"/>
    <x v="1"/>
    <x v="0"/>
    <x v="3"/>
    <x v="1"/>
    <x v="11"/>
    <x v="2"/>
  </r>
  <r>
    <s v="TX502050"/>
    <x v="8"/>
    <x v="0"/>
    <n v="23.4"/>
    <n v="23.4"/>
    <x v="75"/>
    <x v="80"/>
    <x v="2"/>
    <x v="1"/>
    <x v="2"/>
    <x v="0"/>
    <x v="3"/>
    <x v="0"/>
    <x v="11"/>
    <x v="2"/>
  </r>
  <r>
    <s v="TX502051"/>
    <x v="15"/>
    <x v="8"/>
    <n v="56.6"/>
    <n v="452.8"/>
    <x v="75"/>
    <x v="83"/>
    <x v="2"/>
    <x v="1"/>
    <x v="0"/>
    <x v="0"/>
    <x v="3"/>
    <x v="1"/>
    <x v="11"/>
    <x v="2"/>
  </r>
  <r>
    <s v="TX502052"/>
    <x v="15"/>
    <x v="1"/>
    <n v="26.8"/>
    <n v="53.6"/>
    <x v="75"/>
    <x v="73"/>
    <x v="1"/>
    <x v="0"/>
    <x v="0"/>
    <x v="0"/>
    <x v="4"/>
    <x v="3"/>
    <x v="11"/>
    <x v="1"/>
  </r>
  <r>
    <s v="TX502053"/>
    <x v="0"/>
    <x v="2"/>
    <n v="11.3"/>
    <n v="33.900000000000006"/>
    <x v="75"/>
    <x v="83"/>
    <x v="1"/>
    <x v="2"/>
    <x v="0"/>
    <x v="0"/>
    <x v="25"/>
    <x v="1"/>
    <x v="11"/>
    <x v="1"/>
  </r>
  <r>
    <s v="TX502054"/>
    <x v="6"/>
    <x v="2"/>
    <n v="60.1"/>
    <n v="180.3"/>
    <x v="75"/>
    <x v="78"/>
    <x v="2"/>
    <x v="0"/>
    <x v="0"/>
    <x v="0"/>
    <x v="7"/>
    <x v="2"/>
    <x v="11"/>
    <x v="2"/>
  </r>
  <r>
    <s v="TX502055"/>
    <x v="0"/>
    <x v="5"/>
    <n v="27.7"/>
    <n v="304.7"/>
    <x v="75"/>
    <x v="80"/>
    <x v="2"/>
    <x v="0"/>
    <x v="0"/>
    <x v="0"/>
    <x v="8"/>
    <x v="0"/>
    <x v="11"/>
    <x v="2"/>
  </r>
  <r>
    <s v="TX502056"/>
    <x v="15"/>
    <x v="0"/>
    <n v="71.400000000000006"/>
    <n v="71.400000000000006"/>
    <x v="75"/>
    <x v="78"/>
    <x v="1"/>
    <x v="0"/>
    <x v="2"/>
    <x v="0"/>
    <x v="8"/>
    <x v="2"/>
    <x v="11"/>
    <x v="1"/>
  </r>
  <r>
    <s v="TX502057"/>
    <x v="2"/>
    <x v="1"/>
    <n v="66.7"/>
    <n v="133.4"/>
    <x v="75"/>
    <x v="73"/>
    <x v="2"/>
    <x v="0"/>
    <x v="2"/>
    <x v="0"/>
    <x v="8"/>
    <x v="3"/>
    <x v="11"/>
    <x v="2"/>
  </r>
  <r>
    <s v="TX502058"/>
    <x v="13"/>
    <x v="9"/>
    <n v="39.1"/>
    <n v="195.5"/>
    <x v="75"/>
    <x v="73"/>
    <x v="2"/>
    <x v="0"/>
    <x v="0"/>
    <x v="0"/>
    <x v="8"/>
    <x v="3"/>
    <x v="11"/>
    <x v="2"/>
  </r>
  <r>
    <s v="TX502059"/>
    <x v="8"/>
    <x v="12"/>
    <n v="24.9"/>
    <n v="99.6"/>
    <x v="75"/>
    <x v="80"/>
    <x v="1"/>
    <x v="1"/>
    <x v="2"/>
    <x v="0"/>
    <x v="8"/>
    <x v="0"/>
    <x v="11"/>
    <x v="1"/>
  </r>
  <r>
    <s v="TX502060"/>
    <x v="5"/>
    <x v="9"/>
    <n v="29.2"/>
    <n v="146"/>
    <x v="75"/>
    <x v="73"/>
    <x v="1"/>
    <x v="0"/>
    <x v="2"/>
    <x v="0"/>
    <x v="17"/>
    <x v="3"/>
    <x v="11"/>
    <x v="1"/>
  </r>
  <r>
    <s v="TX502061"/>
    <x v="13"/>
    <x v="21"/>
    <n v="28.3"/>
    <n v="396.2"/>
    <x v="75"/>
    <x v="83"/>
    <x v="2"/>
    <x v="1"/>
    <x v="0"/>
    <x v="0"/>
    <x v="11"/>
    <x v="1"/>
    <x v="11"/>
    <x v="2"/>
  </r>
  <r>
    <s v="TX502062"/>
    <x v="9"/>
    <x v="2"/>
    <n v="37.799999999999997"/>
    <n v="113.39999999999999"/>
    <x v="75"/>
    <x v="73"/>
    <x v="2"/>
    <x v="0"/>
    <x v="1"/>
    <x v="0"/>
    <x v="11"/>
    <x v="3"/>
    <x v="11"/>
    <x v="2"/>
  </r>
  <r>
    <s v="TX502063"/>
    <x v="14"/>
    <x v="3"/>
    <n v="28.1"/>
    <n v="196.70000000000002"/>
    <x v="75"/>
    <x v="79"/>
    <x v="2"/>
    <x v="2"/>
    <x v="0"/>
    <x v="0"/>
    <x v="11"/>
    <x v="4"/>
    <x v="11"/>
    <x v="2"/>
  </r>
  <r>
    <s v="TX502064"/>
    <x v="1"/>
    <x v="2"/>
    <n v="59.7"/>
    <n v="179.10000000000002"/>
    <x v="75"/>
    <x v="83"/>
    <x v="2"/>
    <x v="2"/>
    <x v="0"/>
    <x v="0"/>
    <x v="11"/>
    <x v="1"/>
    <x v="11"/>
    <x v="2"/>
  </r>
  <r>
    <s v="TX502065"/>
    <x v="16"/>
    <x v="0"/>
    <n v="71.900000000000006"/>
    <n v="71.900000000000006"/>
    <x v="75"/>
    <x v="73"/>
    <x v="1"/>
    <x v="1"/>
    <x v="1"/>
    <x v="0"/>
    <x v="11"/>
    <x v="3"/>
    <x v="11"/>
    <x v="1"/>
  </r>
  <r>
    <s v="TX502066"/>
    <x v="1"/>
    <x v="1"/>
    <n v="56.9"/>
    <n v="113.8"/>
    <x v="75"/>
    <x v="73"/>
    <x v="1"/>
    <x v="2"/>
    <x v="0"/>
    <x v="0"/>
    <x v="13"/>
    <x v="3"/>
    <x v="11"/>
    <x v="1"/>
  </r>
  <r>
    <s v="TX502067"/>
    <x v="8"/>
    <x v="1"/>
    <n v="15.8"/>
    <n v="31.6"/>
    <x v="75"/>
    <x v="78"/>
    <x v="2"/>
    <x v="2"/>
    <x v="1"/>
    <x v="0"/>
    <x v="1"/>
    <x v="2"/>
    <x v="11"/>
    <x v="2"/>
  </r>
  <r>
    <s v="TX502068"/>
    <x v="11"/>
    <x v="12"/>
    <n v="61.7"/>
    <n v="246.8"/>
    <x v="75"/>
    <x v="83"/>
    <x v="2"/>
    <x v="2"/>
    <x v="0"/>
    <x v="0"/>
    <x v="22"/>
    <x v="1"/>
    <x v="11"/>
    <x v="2"/>
  </r>
  <r>
    <s v="TX502069"/>
    <x v="2"/>
    <x v="7"/>
    <n v="105.2"/>
    <n v="1052"/>
    <x v="75"/>
    <x v="83"/>
    <x v="1"/>
    <x v="1"/>
    <x v="4"/>
    <x v="0"/>
    <x v="3"/>
    <x v="1"/>
    <x v="11"/>
    <x v="1"/>
  </r>
  <r>
    <s v="TX502070"/>
    <x v="0"/>
    <x v="1"/>
    <n v="17"/>
    <n v="34"/>
    <x v="75"/>
    <x v="83"/>
    <x v="2"/>
    <x v="2"/>
    <x v="0"/>
    <x v="0"/>
    <x v="3"/>
    <x v="1"/>
    <x v="11"/>
    <x v="2"/>
  </r>
  <r>
    <s v="TX502071"/>
    <x v="6"/>
    <x v="2"/>
    <n v="84.1"/>
    <n v="252.29999999999998"/>
    <x v="75"/>
    <x v="73"/>
    <x v="1"/>
    <x v="2"/>
    <x v="0"/>
    <x v="0"/>
    <x v="3"/>
    <x v="3"/>
    <x v="11"/>
    <x v="1"/>
  </r>
  <r>
    <s v="TX502072"/>
    <x v="3"/>
    <x v="12"/>
    <n v="59.5"/>
    <n v="238"/>
    <x v="75"/>
    <x v="80"/>
    <x v="1"/>
    <x v="0"/>
    <x v="2"/>
    <x v="0"/>
    <x v="3"/>
    <x v="0"/>
    <x v="11"/>
    <x v="1"/>
  </r>
  <r>
    <s v="TX502073"/>
    <x v="8"/>
    <x v="1"/>
    <n v="57.5"/>
    <n v="115"/>
    <x v="75"/>
    <x v="83"/>
    <x v="1"/>
    <x v="1"/>
    <x v="2"/>
    <x v="0"/>
    <x v="3"/>
    <x v="1"/>
    <x v="11"/>
    <x v="1"/>
  </r>
  <r>
    <s v="TX502074"/>
    <x v="8"/>
    <x v="0"/>
    <n v="34.299999999999997"/>
    <n v="34.299999999999997"/>
    <x v="75"/>
    <x v="73"/>
    <x v="2"/>
    <x v="4"/>
    <x v="2"/>
    <x v="0"/>
    <x v="3"/>
    <x v="3"/>
    <x v="11"/>
    <x v="2"/>
  </r>
  <r>
    <s v="TX502075"/>
    <x v="5"/>
    <x v="1"/>
    <n v="27.8"/>
    <n v="55.6"/>
    <x v="76"/>
    <x v="78"/>
    <x v="2"/>
    <x v="0"/>
    <x v="0"/>
    <x v="0"/>
    <x v="3"/>
    <x v="1"/>
    <x v="11"/>
    <x v="2"/>
  </r>
  <r>
    <s v="TX502076"/>
    <x v="12"/>
    <x v="1"/>
    <n v="85"/>
    <n v="170"/>
    <x v="76"/>
    <x v="73"/>
    <x v="1"/>
    <x v="2"/>
    <x v="2"/>
    <x v="0"/>
    <x v="3"/>
    <x v="7"/>
    <x v="11"/>
    <x v="1"/>
  </r>
  <r>
    <s v="TX502077"/>
    <x v="6"/>
    <x v="1"/>
    <n v="95"/>
    <n v="190"/>
    <x v="76"/>
    <x v="78"/>
    <x v="2"/>
    <x v="0"/>
    <x v="0"/>
    <x v="0"/>
    <x v="3"/>
    <x v="1"/>
    <x v="11"/>
    <x v="2"/>
  </r>
  <r>
    <s v="TX502078"/>
    <x v="16"/>
    <x v="1"/>
    <n v="32"/>
    <n v="64"/>
    <x v="76"/>
    <x v="78"/>
    <x v="1"/>
    <x v="0"/>
    <x v="1"/>
    <x v="0"/>
    <x v="3"/>
    <x v="1"/>
    <x v="11"/>
    <x v="1"/>
  </r>
  <r>
    <s v="TX502079"/>
    <x v="2"/>
    <x v="1"/>
    <n v="65.2"/>
    <n v="130.4"/>
    <x v="76"/>
    <x v="83"/>
    <x v="2"/>
    <x v="1"/>
    <x v="0"/>
    <x v="0"/>
    <x v="3"/>
    <x v="3"/>
    <x v="11"/>
    <x v="2"/>
  </r>
  <r>
    <s v="TX502080"/>
    <x v="17"/>
    <x v="12"/>
    <n v="22"/>
    <n v="88"/>
    <x v="76"/>
    <x v="83"/>
    <x v="1"/>
    <x v="1"/>
    <x v="2"/>
    <x v="0"/>
    <x v="3"/>
    <x v="3"/>
    <x v="11"/>
    <x v="1"/>
  </r>
  <r>
    <s v="TX502081"/>
    <x v="15"/>
    <x v="2"/>
    <n v="69.400000000000006"/>
    <n v="208.20000000000002"/>
    <x v="76"/>
    <x v="75"/>
    <x v="1"/>
    <x v="1"/>
    <x v="2"/>
    <x v="0"/>
    <x v="3"/>
    <x v="2"/>
    <x v="11"/>
    <x v="1"/>
  </r>
  <r>
    <s v="TX502082"/>
    <x v="10"/>
    <x v="13"/>
    <n v="31.5"/>
    <n v="189"/>
    <x v="76"/>
    <x v="78"/>
    <x v="2"/>
    <x v="0"/>
    <x v="2"/>
    <x v="0"/>
    <x v="3"/>
    <x v="1"/>
    <x v="11"/>
    <x v="2"/>
  </r>
  <r>
    <s v="TX502083"/>
    <x v="6"/>
    <x v="0"/>
    <n v="45.8"/>
    <n v="45.8"/>
    <x v="76"/>
    <x v="80"/>
    <x v="3"/>
    <x v="0"/>
    <x v="0"/>
    <x v="0"/>
    <x v="3"/>
    <x v="5"/>
    <x v="11"/>
    <x v="3"/>
  </r>
  <r>
    <s v="TX502084"/>
    <x v="19"/>
    <x v="12"/>
    <n v="12.8"/>
    <n v="51.2"/>
    <x v="76"/>
    <x v="82"/>
    <x v="2"/>
    <x v="1"/>
    <x v="1"/>
    <x v="0"/>
    <x v="5"/>
    <x v="6"/>
    <x v="11"/>
    <x v="2"/>
  </r>
  <r>
    <s v="TX502085"/>
    <x v="5"/>
    <x v="2"/>
    <n v="115.3"/>
    <n v="345.9"/>
    <x v="76"/>
    <x v="83"/>
    <x v="2"/>
    <x v="2"/>
    <x v="2"/>
    <x v="0"/>
    <x v="6"/>
    <x v="3"/>
    <x v="11"/>
    <x v="2"/>
  </r>
  <r>
    <s v="TX502086"/>
    <x v="5"/>
    <x v="1"/>
    <n v="85"/>
    <n v="170"/>
    <x v="76"/>
    <x v="78"/>
    <x v="2"/>
    <x v="1"/>
    <x v="0"/>
    <x v="0"/>
    <x v="7"/>
    <x v="1"/>
    <x v="11"/>
    <x v="2"/>
  </r>
  <r>
    <s v="TX502087"/>
    <x v="8"/>
    <x v="2"/>
    <n v="56.6"/>
    <n v="169.8"/>
    <x v="76"/>
    <x v="83"/>
    <x v="2"/>
    <x v="1"/>
    <x v="2"/>
    <x v="0"/>
    <x v="7"/>
    <x v="3"/>
    <x v="11"/>
    <x v="2"/>
  </r>
  <r>
    <s v="TX502088"/>
    <x v="15"/>
    <x v="6"/>
    <n v="46.3"/>
    <n v="1250.0999999999999"/>
    <x v="76"/>
    <x v="75"/>
    <x v="1"/>
    <x v="0"/>
    <x v="0"/>
    <x v="0"/>
    <x v="7"/>
    <x v="2"/>
    <x v="11"/>
    <x v="1"/>
  </r>
  <r>
    <s v="TX502089"/>
    <x v="14"/>
    <x v="12"/>
    <n v="23"/>
    <n v="92"/>
    <x v="76"/>
    <x v="80"/>
    <x v="1"/>
    <x v="3"/>
    <x v="2"/>
    <x v="0"/>
    <x v="7"/>
    <x v="5"/>
    <x v="11"/>
    <x v="1"/>
  </r>
  <r>
    <s v="TX502090"/>
    <x v="8"/>
    <x v="13"/>
    <n v="42.1"/>
    <n v="252.60000000000002"/>
    <x v="76"/>
    <x v="78"/>
    <x v="1"/>
    <x v="4"/>
    <x v="0"/>
    <x v="0"/>
    <x v="8"/>
    <x v="1"/>
    <x v="11"/>
    <x v="1"/>
  </r>
  <r>
    <s v="TX502091"/>
    <x v="5"/>
    <x v="3"/>
    <n v="57.4"/>
    <n v="401.8"/>
    <x v="76"/>
    <x v="80"/>
    <x v="2"/>
    <x v="1"/>
    <x v="4"/>
    <x v="0"/>
    <x v="8"/>
    <x v="5"/>
    <x v="11"/>
    <x v="2"/>
  </r>
  <r>
    <s v="TX502092"/>
    <x v="0"/>
    <x v="13"/>
    <n v="13.2"/>
    <n v="79.199999999999989"/>
    <x v="76"/>
    <x v="80"/>
    <x v="1"/>
    <x v="2"/>
    <x v="0"/>
    <x v="0"/>
    <x v="8"/>
    <x v="5"/>
    <x v="11"/>
    <x v="1"/>
  </r>
  <r>
    <s v="TX502093"/>
    <x v="6"/>
    <x v="2"/>
    <n v="52.3"/>
    <n v="156.89999999999998"/>
    <x v="76"/>
    <x v="83"/>
    <x v="1"/>
    <x v="1"/>
    <x v="0"/>
    <x v="0"/>
    <x v="8"/>
    <x v="3"/>
    <x v="11"/>
    <x v="1"/>
  </r>
  <r>
    <s v="TX502094"/>
    <x v="8"/>
    <x v="1"/>
    <n v="15.7"/>
    <n v="31.4"/>
    <x v="76"/>
    <x v="75"/>
    <x v="1"/>
    <x v="1"/>
    <x v="2"/>
    <x v="0"/>
    <x v="8"/>
    <x v="2"/>
    <x v="11"/>
    <x v="1"/>
  </r>
  <r>
    <s v="TX502095"/>
    <x v="7"/>
    <x v="2"/>
    <n v="35"/>
    <n v="105"/>
    <x v="76"/>
    <x v="75"/>
    <x v="2"/>
    <x v="1"/>
    <x v="2"/>
    <x v="0"/>
    <x v="9"/>
    <x v="2"/>
    <x v="11"/>
    <x v="2"/>
  </r>
  <r>
    <s v="TX502096"/>
    <x v="4"/>
    <x v="2"/>
    <n v="26.6"/>
    <n v="79.800000000000011"/>
    <x v="76"/>
    <x v="73"/>
    <x v="1"/>
    <x v="1"/>
    <x v="2"/>
    <x v="0"/>
    <x v="11"/>
    <x v="7"/>
    <x v="11"/>
    <x v="1"/>
  </r>
  <r>
    <s v="TX502097"/>
    <x v="4"/>
    <x v="8"/>
    <n v="47.9"/>
    <n v="383.2"/>
    <x v="77"/>
    <x v="78"/>
    <x v="2"/>
    <x v="3"/>
    <x v="2"/>
    <x v="0"/>
    <x v="20"/>
    <x v="3"/>
    <x v="11"/>
    <x v="2"/>
  </r>
  <r>
    <s v="TX502098"/>
    <x v="5"/>
    <x v="0"/>
    <n v="80.099999999999994"/>
    <n v="80.099999999999994"/>
    <x v="77"/>
    <x v="78"/>
    <x v="1"/>
    <x v="2"/>
    <x v="0"/>
    <x v="0"/>
    <x v="21"/>
    <x v="3"/>
    <x v="11"/>
    <x v="1"/>
  </r>
  <r>
    <s v="TX502099"/>
    <x v="6"/>
    <x v="9"/>
    <n v="50.4"/>
    <n v="252"/>
    <x v="77"/>
    <x v="78"/>
    <x v="1"/>
    <x v="1"/>
    <x v="2"/>
    <x v="0"/>
    <x v="21"/>
    <x v="3"/>
    <x v="11"/>
    <x v="1"/>
  </r>
  <r>
    <s v="TX502100"/>
    <x v="10"/>
    <x v="3"/>
    <n v="43.3"/>
    <n v="303.09999999999997"/>
    <x v="77"/>
    <x v="78"/>
    <x v="1"/>
    <x v="2"/>
    <x v="0"/>
    <x v="0"/>
    <x v="21"/>
    <x v="3"/>
    <x v="11"/>
    <x v="1"/>
  </r>
  <r>
    <s v="TX502101"/>
    <x v="10"/>
    <x v="12"/>
    <n v="57.5"/>
    <n v="230"/>
    <x v="77"/>
    <x v="78"/>
    <x v="2"/>
    <x v="1"/>
    <x v="2"/>
    <x v="0"/>
    <x v="1"/>
    <x v="3"/>
    <x v="11"/>
    <x v="2"/>
  </r>
  <r>
    <s v="TX502102"/>
    <x v="9"/>
    <x v="15"/>
    <n v="24.8"/>
    <n v="322.40000000000003"/>
    <x v="77"/>
    <x v="78"/>
    <x v="1"/>
    <x v="0"/>
    <x v="0"/>
    <x v="0"/>
    <x v="57"/>
    <x v="3"/>
    <x v="11"/>
    <x v="1"/>
  </r>
  <r>
    <s v="TX502103"/>
    <x v="2"/>
    <x v="11"/>
    <n v="85.7"/>
    <n v="771.30000000000007"/>
    <x v="77"/>
    <x v="78"/>
    <x v="2"/>
    <x v="0"/>
    <x v="0"/>
    <x v="0"/>
    <x v="42"/>
    <x v="3"/>
    <x v="11"/>
    <x v="2"/>
  </r>
  <r>
    <s v="TX502104"/>
    <x v="7"/>
    <x v="0"/>
    <n v="47.1"/>
    <n v="47.1"/>
    <x v="77"/>
    <x v="75"/>
    <x v="2"/>
    <x v="0"/>
    <x v="0"/>
    <x v="0"/>
    <x v="2"/>
    <x v="1"/>
    <x v="11"/>
    <x v="2"/>
  </r>
  <r>
    <s v="TX502105"/>
    <x v="5"/>
    <x v="7"/>
    <n v="83.2"/>
    <n v="832"/>
    <x v="77"/>
    <x v="79"/>
    <x v="2"/>
    <x v="0"/>
    <x v="0"/>
    <x v="0"/>
    <x v="33"/>
    <x v="5"/>
    <x v="11"/>
    <x v="2"/>
  </r>
  <r>
    <s v="TX502106"/>
    <x v="2"/>
    <x v="2"/>
    <n v="157"/>
    <n v="471"/>
    <x v="77"/>
    <x v="75"/>
    <x v="2"/>
    <x v="0"/>
    <x v="2"/>
    <x v="0"/>
    <x v="22"/>
    <x v="1"/>
    <x v="11"/>
    <x v="2"/>
  </r>
  <r>
    <s v="TX502107"/>
    <x v="16"/>
    <x v="12"/>
    <n v="33.700000000000003"/>
    <n v="134.80000000000001"/>
    <x v="77"/>
    <x v="78"/>
    <x v="1"/>
    <x v="2"/>
    <x v="2"/>
    <x v="0"/>
    <x v="22"/>
    <x v="3"/>
    <x v="11"/>
    <x v="1"/>
  </r>
  <r>
    <s v="TX502108"/>
    <x v="2"/>
    <x v="2"/>
    <n v="60.8"/>
    <n v="182.39999999999998"/>
    <x v="77"/>
    <x v="79"/>
    <x v="2"/>
    <x v="1"/>
    <x v="1"/>
    <x v="0"/>
    <x v="3"/>
    <x v="5"/>
    <x v="11"/>
    <x v="2"/>
  </r>
  <r>
    <s v="TX502109"/>
    <x v="7"/>
    <x v="0"/>
    <n v="57.6"/>
    <n v="57.6"/>
    <x v="77"/>
    <x v="78"/>
    <x v="1"/>
    <x v="1"/>
    <x v="4"/>
    <x v="0"/>
    <x v="3"/>
    <x v="3"/>
    <x v="11"/>
    <x v="1"/>
  </r>
  <r>
    <s v="TX502110"/>
    <x v="10"/>
    <x v="0"/>
    <n v="32"/>
    <n v="32"/>
    <x v="77"/>
    <x v="75"/>
    <x v="1"/>
    <x v="0"/>
    <x v="0"/>
    <x v="0"/>
    <x v="3"/>
    <x v="1"/>
    <x v="11"/>
    <x v="1"/>
  </r>
  <r>
    <s v="TX502111"/>
    <x v="10"/>
    <x v="12"/>
    <n v="23.5"/>
    <n v="94"/>
    <x v="77"/>
    <x v="78"/>
    <x v="2"/>
    <x v="0"/>
    <x v="2"/>
    <x v="0"/>
    <x v="3"/>
    <x v="3"/>
    <x v="11"/>
    <x v="2"/>
  </r>
  <r>
    <s v="TX502112"/>
    <x v="12"/>
    <x v="2"/>
    <n v="44.8"/>
    <n v="134.39999999999998"/>
    <x v="77"/>
    <x v="78"/>
    <x v="3"/>
    <x v="4"/>
    <x v="0"/>
    <x v="0"/>
    <x v="3"/>
    <x v="3"/>
    <x v="11"/>
    <x v="3"/>
  </r>
  <r>
    <s v="TX502113"/>
    <x v="0"/>
    <x v="8"/>
    <n v="11.7"/>
    <n v="93.6"/>
    <x v="77"/>
    <x v="78"/>
    <x v="1"/>
    <x v="2"/>
    <x v="2"/>
    <x v="0"/>
    <x v="3"/>
    <x v="3"/>
    <x v="11"/>
    <x v="1"/>
  </r>
  <r>
    <s v="TX502114"/>
    <x v="7"/>
    <x v="1"/>
    <n v="38.799999999999997"/>
    <n v="77.599999999999994"/>
    <x v="77"/>
    <x v="80"/>
    <x v="2"/>
    <x v="2"/>
    <x v="0"/>
    <x v="0"/>
    <x v="3"/>
    <x v="2"/>
    <x v="11"/>
    <x v="2"/>
  </r>
  <r>
    <s v="TX502115"/>
    <x v="5"/>
    <x v="21"/>
    <n v="86.9"/>
    <n v="1216.6000000000001"/>
    <x v="77"/>
    <x v="77"/>
    <x v="2"/>
    <x v="1"/>
    <x v="0"/>
    <x v="0"/>
    <x v="3"/>
    <x v="0"/>
    <x v="11"/>
    <x v="2"/>
  </r>
  <r>
    <s v="TX502116"/>
    <x v="8"/>
    <x v="0"/>
    <n v="18.3"/>
    <n v="18.3"/>
    <x v="77"/>
    <x v="78"/>
    <x v="2"/>
    <x v="0"/>
    <x v="0"/>
    <x v="0"/>
    <x v="3"/>
    <x v="3"/>
    <x v="11"/>
    <x v="2"/>
  </r>
  <r>
    <s v="TX502117"/>
    <x v="5"/>
    <x v="0"/>
    <n v="47.5"/>
    <n v="47.5"/>
    <x v="77"/>
    <x v="79"/>
    <x v="1"/>
    <x v="4"/>
    <x v="2"/>
    <x v="0"/>
    <x v="3"/>
    <x v="5"/>
    <x v="11"/>
    <x v="1"/>
  </r>
  <r>
    <s v="TX502118"/>
    <x v="1"/>
    <x v="1"/>
    <n v="78.599999999999994"/>
    <n v="157.19999999999999"/>
    <x v="77"/>
    <x v="78"/>
    <x v="1"/>
    <x v="2"/>
    <x v="2"/>
    <x v="0"/>
    <x v="3"/>
    <x v="3"/>
    <x v="11"/>
    <x v="1"/>
  </r>
  <r>
    <s v="TX502119"/>
    <x v="6"/>
    <x v="12"/>
    <n v="87.3"/>
    <n v="349.2"/>
    <x v="77"/>
    <x v="78"/>
    <x v="1"/>
    <x v="0"/>
    <x v="0"/>
    <x v="0"/>
    <x v="3"/>
    <x v="3"/>
    <x v="11"/>
    <x v="1"/>
  </r>
  <r>
    <s v="TX502120"/>
    <x v="9"/>
    <x v="1"/>
    <n v="63.2"/>
    <n v="126.4"/>
    <x v="77"/>
    <x v="83"/>
    <x v="1"/>
    <x v="4"/>
    <x v="1"/>
    <x v="0"/>
    <x v="3"/>
    <x v="7"/>
    <x v="11"/>
    <x v="1"/>
  </r>
  <r>
    <s v="TX502121"/>
    <x v="5"/>
    <x v="9"/>
    <n v="33.700000000000003"/>
    <n v="168.5"/>
    <x v="77"/>
    <x v="78"/>
    <x v="2"/>
    <x v="0"/>
    <x v="0"/>
    <x v="0"/>
    <x v="3"/>
    <x v="3"/>
    <x v="11"/>
    <x v="2"/>
  </r>
  <r>
    <s v="TX502122"/>
    <x v="2"/>
    <x v="2"/>
    <n v="107.4"/>
    <n v="322.20000000000005"/>
    <x v="77"/>
    <x v="84"/>
    <x v="2"/>
    <x v="1"/>
    <x v="2"/>
    <x v="0"/>
    <x v="3"/>
    <x v="10"/>
    <x v="11"/>
    <x v="2"/>
  </r>
  <r>
    <s v="TX502123"/>
    <x v="4"/>
    <x v="12"/>
    <n v="22.2"/>
    <n v="88.8"/>
    <x v="77"/>
    <x v="78"/>
    <x v="0"/>
    <x v="1"/>
    <x v="2"/>
    <x v="0"/>
    <x v="24"/>
    <x v="3"/>
    <x v="11"/>
    <x v="0"/>
  </r>
  <r>
    <s v="TX502124"/>
    <x v="18"/>
    <x v="2"/>
    <n v="52.8"/>
    <n v="158.39999999999998"/>
    <x v="77"/>
    <x v="78"/>
    <x v="1"/>
    <x v="3"/>
    <x v="2"/>
    <x v="0"/>
    <x v="24"/>
    <x v="3"/>
    <x v="11"/>
    <x v="1"/>
  </r>
  <r>
    <s v="TX502125"/>
    <x v="8"/>
    <x v="2"/>
    <n v="41.5"/>
    <n v="124.5"/>
    <x v="77"/>
    <x v="80"/>
    <x v="2"/>
    <x v="0"/>
    <x v="0"/>
    <x v="0"/>
    <x v="25"/>
    <x v="2"/>
    <x v="11"/>
    <x v="2"/>
  </r>
  <r>
    <s v="TX502126"/>
    <x v="12"/>
    <x v="8"/>
    <n v="103.5"/>
    <n v="828"/>
    <x v="77"/>
    <x v="80"/>
    <x v="2"/>
    <x v="0"/>
    <x v="2"/>
    <x v="0"/>
    <x v="23"/>
    <x v="2"/>
    <x v="11"/>
    <x v="2"/>
  </r>
  <r>
    <s v="TX502127"/>
    <x v="4"/>
    <x v="21"/>
    <n v="37.5"/>
    <n v="525"/>
    <x v="77"/>
    <x v="83"/>
    <x v="2"/>
    <x v="1"/>
    <x v="2"/>
    <x v="0"/>
    <x v="6"/>
    <x v="7"/>
    <x v="11"/>
    <x v="2"/>
  </r>
  <r>
    <s v="TX502128"/>
    <x v="15"/>
    <x v="8"/>
    <n v="44.4"/>
    <n v="355.2"/>
    <x v="77"/>
    <x v="82"/>
    <x v="2"/>
    <x v="3"/>
    <x v="2"/>
    <x v="0"/>
    <x v="7"/>
    <x v="4"/>
    <x v="11"/>
    <x v="2"/>
  </r>
  <r>
    <s v="TX502129"/>
    <x v="8"/>
    <x v="2"/>
    <n v="26.2"/>
    <n v="78.599999999999994"/>
    <x v="77"/>
    <x v="78"/>
    <x v="1"/>
    <x v="0"/>
    <x v="0"/>
    <x v="0"/>
    <x v="8"/>
    <x v="3"/>
    <x v="11"/>
    <x v="1"/>
  </r>
  <r>
    <s v="TX502130"/>
    <x v="1"/>
    <x v="3"/>
    <n v="32.200000000000003"/>
    <n v="225.40000000000003"/>
    <x v="77"/>
    <x v="78"/>
    <x v="2"/>
    <x v="1"/>
    <x v="2"/>
    <x v="0"/>
    <x v="8"/>
    <x v="3"/>
    <x v="11"/>
    <x v="2"/>
  </r>
  <r>
    <s v="TX502131"/>
    <x v="8"/>
    <x v="0"/>
    <n v="17.399999999999999"/>
    <n v="17.399999999999999"/>
    <x v="77"/>
    <x v="79"/>
    <x v="0"/>
    <x v="2"/>
    <x v="1"/>
    <x v="0"/>
    <x v="8"/>
    <x v="5"/>
    <x v="11"/>
    <x v="0"/>
  </r>
  <r>
    <s v="TX502132"/>
    <x v="8"/>
    <x v="13"/>
    <n v="72.3"/>
    <n v="433.79999999999995"/>
    <x v="77"/>
    <x v="80"/>
    <x v="2"/>
    <x v="0"/>
    <x v="0"/>
    <x v="0"/>
    <x v="8"/>
    <x v="2"/>
    <x v="11"/>
    <x v="2"/>
  </r>
  <r>
    <s v="TX502133"/>
    <x v="8"/>
    <x v="5"/>
    <n v="24.3"/>
    <n v="267.3"/>
    <x v="77"/>
    <x v="78"/>
    <x v="1"/>
    <x v="0"/>
    <x v="0"/>
    <x v="0"/>
    <x v="8"/>
    <x v="3"/>
    <x v="11"/>
    <x v="1"/>
  </r>
  <r>
    <s v="TX502134"/>
    <x v="13"/>
    <x v="2"/>
    <n v="49.1"/>
    <n v="147.30000000000001"/>
    <x v="77"/>
    <x v="82"/>
    <x v="1"/>
    <x v="2"/>
    <x v="4"/>
    <x v="0"/>
    <x v="8"/>
    <x v="4"/>
    <x v="11"/>
    <x v="1"/>
  </r>
  <r>
    <s v="TX502135"/>
    <x v="2"/>
    <x v="7"/>
    <n v="234.7"/>
    <n v="2347"/>
    <x v="77"/>
    <x v="78"/>
    <x v="1"/>
    <x v="3"/>
    <x v="1"/>
    <x v="0"/>
    <x v="8"/>
    <x v="3"/>
    <x v="11"/>
    <x v="1"/>
  </r>
  <r>
    <s v="TX502136"/>
    <x v="3"/>
    <x v="9"/>
    <n v="76.099999999999994"/>
    <n v="380.5"/>
    <x v="77"/>
    <x v="75"/>
    <x v="1"/>
    <x v="1"/>
    <x v="1"/>
    <x v="0"/>
    <x v="17"/>
    <x v="1"/>
    <x v="11"/>
    <x v="1"/>
  </r>
  <r>
    <s v="TX502137"/>
    <x v="1"/>
    <x v="2"/>
    <n v="93.9"/>
    <n v="281.70000000000005"/>
    <x v="77"/>
    <x v="78"/>
    <x v="1"/>
    <x v="1"/>
    <x v="4"/>
    <x v="0"/>
    <x v="11"/>
    <x v="3"/>
    <x v="11"/>
    <x v="1"/>
  </r>
  <r>
    <s v="TX502138"/>
    <x v="2"/>
    <x v="12"/>
    <n v="187"/>
    <n v="748"/>
    <x v="78"/>
    <x v="79"/>
    <x v="1"/>
    <x v="0"/>
    <x v="0"/>
    <x v="0"/>
    <x v="11"/>
    <x v="2"/>
    <x v="11"/>
    <x v="1"/>
  </r>
  <r>
    <s v="TX502139"/>
    <x v="8"/>
    <x v="1"/>
    <n v="18"/>
    <n v="36"/>
    <x v="78"/>
    <x v="75"/>
    <x v="2"/>
    <x v="1"/>
    <x v="2"/>
    <x v="0"/>
    <x v="53"/>
    <x v="3"/>
    <x v="11"/>
    <x v="2"/>
  </r>
  <r>
    <s v="TX502140"/>
    <x v="4"/>
    <x v="0"/>
    <n v="24.4"/>
    <n v="24.4"/>
    <x v="78"/>
    <x v="75"/>
    <x v="2"/>
    <x v="4"/>
    <x v="2"/>
    <x v="0"/>
    <x v="21"/>
    <x v="3"/>
    <x v="11"/>
    <x v="2"/>
  </r>
  <r>
    <s v="TX502141"/>
    <x v="10"/>
    <x v="1"/>
    <n v="38.799999999999997"/>
    <n v="77.599999999999994"/>
    <x v="78"/>
    <x v="75"/>
    <x v="1"/>
    <x v="4"/>
    <x v="1"/>
    <x v="0"/>
    <x v="3"/>
    <x v="3"/>
    <x v="11"/>
    <x v="1"/>
  </r>
  <r>
    <s v="TX502142"/>
    <x v="3"/>
    <x v="0"/>
    <n v="59.7"/>
    <n v="59.7"/>
    <x v="78"/>
    <x v="79"/>
    <x v="1"/>
    <x v="3"/>
    <x v="0"/>
    <x v="0"/>
    <x v="3"/>
    <x v="2"/>
    <x v="11"/>
    <x v="1"/>
  </r>
  <r>
    <s v="TX502143"/>
    <x v="7"/>
    <x v="0"/>
    <n v="31.2"/>
    <n v="31.2"/>
    <x v="78"/>
    <x v="75"/>
    <x v="1"/>
    <x v="1"/>
    <x v="2"/>
    <x v="0"/>
    <x v="3"/>
    <x v="3"/>
    <x v="11"/>
    <x v="1"/>
  </r>
  <r>
    <s v="TX502144"/>
    <x v="0"/>
    <x v="0"/>
    <n v="16.8"/>
    <n v="16.8"/>
    <x v="78"/>
    <x v="75"/>
    <x v="2"/>
    <x v="2"/>
    <x v="1"/>
    <x v="0"/>
    <x v="3"/>
    <x v="3"/>
    <x v="11"/>
    <x v="2"/>
  </r>
  <r>
    <s v="TX502145"/>
    <x v="8"/>
    <x v="0"/>
    <n v="46"/>
    <n v="46"/>
    <x v="78"/>
    <x v="75"/>
    <x v="1"/>
    <x v="0"/>
    <x v="0"/>
    <x v="0"/>
    <x v="3"/>
    <x v="3"/>
    <x v="11"/>
    <x v="1"/>
  </r>
  <r>
    <s v="TX502146"/>
    <x v="9"/>
    <x v="8"/>
    <n v="42.2"/>
    <n v="337.6"/>
    <x v="78"/>
    <x v="79"/>
    <x v="2"/>
    <x v="3"/>
    <x v="2"/>
    <x v="0"/>
    <x v="3"/>
    <x v="2"/>
    <x v="11"/>
    <x v="2"/>
  </r>
  <r>
    <s v="TX502147"/>
    <x v="1"/>
    <x v="2"/>
    <n v="71.5"/>
    <n v="214.5"/>
    <x v="78"/>
    <x v="85"/>
    <x v="2"/>
    <x v="0"/>
    <x v="0"/>
    <x v="0"/>
    <x v="3"/>
    <x v="12"/>
    <x v="11"/>
    <x v="2"/>
  </r>
  <r>
    <s v="TX502148"/>
    <x v="1"/>
    <x v="1"/>
    <n v="76.599999999999994"/>
    <n v="153.19999999999999"/>
    <x v="78"/>
    <x v="78"/>
    <x v="1"/>
    <x v="0"/>
    <x v="2"/>
    <x v="0"/>
    <x v="3"/>
    <x v="7"/>
    <x v="11"/>
    <x v="1"/>
  </r>
  <r>
    <s v="TX502149"/>
    <x v="12"/>
    <x v="1"/>
    <n v="87.3"/>
    <n v="174.6"/>
    <x v="78"/>
    <x v="86"/>
    <x v="2"/>
    <x v="3"/>
    <x v="2"/>
    <x v="0"/>
    <x v="3"/>
    <x v="9"/>
    <x v="11"/>
    <x v="2"/>
  </r>
  <r>
    <s v="TX502150"/>
    <x v="1"/>
    <x v="0"/>
    <n v="63"/>
    <n v="63"/>
    <x v="78"/>
    <x v="79"/>
    <x v="1"/>
    <x v="3"/>
    <x v="0"/>
    <x v="0"/>
    <x v="3"/>
    <x v="2"/>
    <x v="11"/>
    <x v="1"/>
  </r>
  <r>
    <s v="TX502151"/>
    <x v="8"/>
    <x v="1"/>
    <n v="41.7"/>
    <n v="83.4"/>
    <x v="78"/>
    <x v="75"/>
    <x v="2"/>
    <x v="4"/>
    <x v="1"/>
    <x v="0"/>
    <x v="43"/>
    <x v="3"/>
    <x v="11"/>
    <x v="2"/>
  </r>
  <r>
    <s v="TX502152"/>
    <x v="6"/>
    <x v="1"/>
    <n v="76.099999999999994"/>
    <n v="152.19999999999999"/>
    <x v="78"/>
    <x v="78"/>
    <x v="2"/>
    <x v="4"/>
    <x v="2"/>
    <x v="0"/>
    <x v="16"/>
    <x v="7"/>
    <x v="11"/>
    <x v="2"/>
  </r>
  <r>
    <s v="TX502153"/>
    <x v="13"/>
    <x v="1"/>
    <n v="28.5"/>
    <n v="57"/>
    <x v="78"/>
    <x v="75"/>
    <x v="2"/>
    <x v="0"/>
    <x v="2"/>
    <x v="0"/>
    <x v="4"/>
    <x v="3"/>
    <x v="11"/>
    <x v="2"/>
  </r>
  <r>
    <s v="TX502154"/>
    <x v="0"/>
    <x v="12"/>
    <n v="32.1"/>
    <n v="128.4"/>
    <x v="78"/>
    <x v="75"/>
    <x v="2"/>
    <x v="1"/>
    <x v="2"/>
    <x v="0"/>
    <x v="25"/>
    <x v="3"/>
    <x v="11"/>
    <x v="2"/>
  </r>
  <r>
    <s v="TX502155"/>
    <x v="4"/>
    <x v="2"/>
    <n v="39"/>
    <n v="117"/>
    <x v="78"/>
    <x v="79"/>
    <x v="1"/>
    <x v="1"/>
    <x v="2"/>
    <x v="0"/>
    <x v="25"/>
    <x v="2"/>
    <x v="11"/>
    <x v="1"/>
  </r>
  <r>
    <s v="TX502156"/>
    <x v="6"/>
    <x v="0"/>
    <n v="78.5"/>
    <n v="78.5"/>
    <x v="78"/>
    <x v="75"/>
    <x v="1"/>
    <x v="1"/>
    <x v="0"/>
    <x v="0"/>
    <x v="6"/>
    <x v="3"/>
    <x v="11"/>
    <x v="1"/>
  </r>
  <r>
    <s v="TX502157"/>
    <x v="4"/>
    <x v="9"/>
    <n v="49.7"/>
    <n v="248.5"/>
    <x v="78"/>
    <x v="80"/>
    <x v="2"/>
    <x v="0"/>
    <x v="0"/>
    <x v="0"/>
    <x v="6"/>
    <x v="1"/>
    <x v="11"/>
    <x v="2"/>
  </r>
  <r>
    <s v="TX502158"/>
    <x v="1"/>
    <x v="12"/>
    <n v="68.400000000000006"/>
    <n v="273.60000000000002"/>
    <x v="78"/>
    <x v="75"/>
    <x v="2"/>
    <x v="2"/>
    <x v="2"/>
    <x v="0"/>
    <x v="7"/>
    <x v="3"/>
    <x v="11"/>
    <x v="2"/>
  </r>
  <r>
    <s v="TX502159"/>
    <x v="3"/>
    <x v="1"/>
    <n v="72.900000000000006"/>
    <n v="145.80000000000001"/>
    <x v="78"/>
    <x v="79"/>
    <x v="0"/>
    <x v="0"/>
    <x v="2"/>
    <x v="0"/>
    <x v="7"/>
    <x v="2"/>
    <x v="11"/>
    <x v="0"/>
  </r>
  <r>
    <s v="TX502160"/>
    <x v="5"/>
    <x v="15"/>
    <n v="30.3"/>
    <n v="393.90000000000003"/>
    <x v="78"/>
    <x v="75"/>
    <x v="1"/>
    <x v="4"/>
    <x v="0"/>
    <x v="0"/>
    <x v="7"/>
    <x v="3"/>
    <x v="11"/>
    <x v="1"/>
  </r>
  <r>
    <s v="TX502161"/>
    <x v="6"/>
    <x v="5"/>
    <n v="57.9"/>
    <n v="636.9"/>
    <x v="78"/>
    <x v="75"/>
    <x v="2"/>
    <x v="0"/>
    <x v="0"/>
    <x v="0"/>
    <x v="8"/>
    <x v="3"/>
    <x v="11"/>
    <x v="2"/>
  </r>
  <r>
    <s v="TX502162"/>
    <x v="1"/>
    <x v="0"/>
    <n v="96.7"/>
    <n v="96.7"/>
    <x v="78"/>
    <x v="75"/>
    <x v="1"/>
    <x v="0"/>
    <x v="0"/>
    <x v="0"/>
    <x v="8"/>
    <x v="3"/>
    <x v="11"/>
    <x v="1"/>
  </r>
  <r>
    <s v="TX502163"/>
    <x v="8"/>
    <x v="4"/>
    <n v="27.6"/>
    <n v="331.20000000000005"/>
    <x v="78"/>
    <x v="80"/>
    <x v="1"/>
    <x v="2"/>
    <x v="2"/>
    <x v="0"/>
    <x v="8"/>
    <x v="1"/>
    <x v="11"/>
    <x v="1"/>
  </r>
  <r>
    <s v="TX502164"/>
    <x v="6"/>
    <x v="12"/>
    <n v="64.7"/>
    <n v="258.8"/>
    <x v="78"/>
    <x v="78"/>
    <x v="1"/>
    <x v="3"/>
    <x v="2"/>
    <x v="0"/>
    <x v="8"/>
    <x v="7"/>
    <x v="11"/>
    <x v="1"/>
  </r>
  <r>
    <s v="TX502165"/>
    <x v="10"/>
    <x v="13"/>
    <n v="30.5"/>
    <n v="183"/>
    <x v="78"/>
    <x v="75"/>
    <x v="1"/>
    <x v="4"/>
    <x v="0"/>
    <x v="0"/>
    <x v="8"/>
    <x v="3"/>
    <x v="11"/>
    <x v="1"/>
  </r>
  <r>
    <s v="TX502166"/>
    <x v="6"/>
    <x v="47"/>
    <n v="106"/>
    <n v="7420"/>
    <x v="79"/>
    <x v="79"/>
    <x v="1"/>
    <x v="4"/>
    <x v="2"/>
    <x v="0"/>
    <x v="8"/>
    <x v="1"/>
    <x v="11"/>
    <x v="1"/>
  </r>
  <r>
    <s v="TX502167"/>
    <x v="12"/>
    <x v="9"/>
    <n v="76.8"/>
    <n v="384"/>
    <x v="79"/>
    <x v="87"/>
    <x v="0"/>
    <x v="1"/>
    <x v="1"/>
    <x v="0"/>
    <x v="18"/>
    <x v="4"/>
    <x v="11"/>
    <x v="0"/>
  </r>
  <r>
    <s v="TX502168"/>
    <x v="6"/>
    <x v="1"/>
    <n v="80.400000000000006"/>
    <n v="160.80000000000001"/>
    <x v="79"/>
    <x v="80"/>
    <x v="2"/>
    <x v="2"/>
    <x v="0"/>
    <x v="0"/>
    <x v="13"/>
    <x v="3"/>
    <x v="11"/>
    <x v="2"/>
  </r>
  <r>
    <s v="TX502169"/>
    <x v="6"/>
    <x v="12"/>
    <n v="69.099999999999994"/>
    <n v="276.39999999999998"/>
    <x v="79"/>
    <x v="80"/>
    <x v="1"/>
    <x v="1"/>
    <x v="2"/>
    <x v="0"/>
    <x v="21"/>
    <x v="3"/>
    <x v="11"/>
    <x v="1"/>
  </r>
  <r>
    <s v="TX502170"/>
    <x v="18"/>
    <x v="1"/>
    <n v="76.400000000000006"/>
    <n v="152.80000000000001"/>
    <x v="79"/>
    <x v="75"/>
    <x v="1"/>
    <x v="3"/>
    <x v="0"/>
    <x v="0"/>
    <x v="21"/>
    <x v="7"/>
    <x v="11"/>
    <x v="1"/>
  </r>
  <r>
    <s v="TX502171"/>
    <x v="2"/>
    <x v="1"/>
    <n v="61.3"/>
    <n v="122.6"/>
    <x v="79"/>
    <x v="80"/>
    <x v="2"/>
    <x v="1"/>
    <x v="1"/>
    <x v="0"/>
    <x v="21"/>
    <x v="3"/>
    <x v="11"/>
    <x v="2"/>
  </r>
  <r>
    <s v="TX502172"/>
    <x v="7"/>
    <x v="0"/>
    <n v="58"/>
    <n v="58"/>
    <x v="79"/>
    <x v="80"/>
    <x v="1"/>
    <x v="3"/>
    <x v="1"/>
    <x v="0"/>
    <x v="1"/>
    <x v="3"/>
    <x v="11"/>
    <x v="1"/>
  </r>
  <r>
    <s v="TX502173"/>
    <x v="2"/>
    <x v="8"/>
    <n v="102.3"/>
    <n v="818.4"/>
    <x v="79"/>
    <x v="79"/>
    <x v="1"/>
    <x v="2"/>
    <x v="0"/>
    <x v="0"/>
    <x v="42"/>
    <x v="1"/>
    <x v="11"/>
    <x v="1"/>
  </r>
  <r>
    <s v="TX502174"/>
    <x v="19"/>
    <x v="1"/>
    <n v="13.8"/>
    <n v="27.6"/>
    <x v="79"/>
    <x v="80"/>
    <x v="2"/>
    <x v="4"/>
    <x v="2"/>
    <x v="0"/>
    <x v="2"/>
    <x v="3"/>
    <x v="11"/>
    <x v="2"/>
  </r>
  <r>
    <s v="TX502175"/>
    <x v="8"/>
    <x v="2"/>
    <n v="33.299999999999997"/>
    <n v="99.899999999999991"/>
    <x v="79"/>
    <x v="77"/>
    <x v="2"/>
    <x v="2"/>
    <x v="0"/>
    <x v="0"/>
    <x v="22"/>
    <x v="2"/>
    <x v="11"/>
    <x v="2"/>
  </r>
  <r>
    <s v="TX502176"/>
    <x v="10"/>
    <x v="0"/>
    <n v="27.4"/>
    <n v="27.4"/>
    <x v="79"/>
    <x v="77"/>
    <x v="1"/>
    <x v="0"/>
    <x v="2"/>
    <x v="0"/>
    <x v="22"/>
    <x v="2"/>
    <x v="11"/>
    <x v="1"/>
  </r>
  <r>
    <s v="TX502177"/>
    <x v="14"/>
    <x v="1"/>
    <n v="25.6"/>
    <n v="51.2"/>
    <x v="79"/>
    <x v="80"/>
    <x v="2"/>
    <x v="1"/>
    <x v="1"/>
    <x v="0"/>
    <x v="3"/>
    <x v="3"/>
    <x v="11"/>
    <x v="2"/>
  </r>
  <r>
    <s v="TX502178"/>
    <x v="13"/>
    <x v="0"/>
    <n v="58.4"/>
    <n v="58.4"/>
    <x v="79"/>
    <x v="80"/>
    <x v="2"/>
    <x v="2"/>
    <x v="2"/>
    <x v="0"/>
    <x v="3"/>
    <x v="3"/>
    <x v="11"/>
    <x v="2"/>
  </r>
  <r>
    <s v="TX502179"/>
    <x v="11"/>
    <x v="17"/>
    <n v="27"/>
    <n v="810"/>
    <x v="79"/>
    <x v="80"/>
    <x v="2"/>
    <x v="4"/>
    <x v="0"/>
    <x v="0"/>
    <x v="3"/>
    <x v="3"/>
    <x v="11"/>
    <x v="2"/>
  </r>
  <r>
    <s v="TX502180"/>
    <x v="0"/>
    <x v="12"/>
    <n v="14.2"/>
    <n v="56.8"/>
    <x v="79"/>
    <x v="80"/>
    <x v="1"/>
    <x v="0"/>
    <x v="2"/>
    <x v="0"/>
    <x v="3"/>
    <x v="3"/>
    <x v="11"/>
    <x v="1"/>
  </r>
  <r>
    <s v="TX502181"/>
    <x v="7"/>
    <x v="1"/>
    <n v="68"/>
    <n v="136"/>
    <x v="79"/>
    <x v="88"/>
    <x v="1"/>
    <x v="2"/>
    <x v="1"/>
    <x v="0"/>
    <x v="3"/>
    <x v="14"/>
    <x v="11"/>
    <x v="1"/>
  </r>
  <r>
    <s v="TX502182"/>
    <x v="8"/>
    <x v="0"/>
    <n v="30.7"/>
    <n v="30.7"/>
    <x v="79"/>
    <x v="80"/>
    <x v="1"/>
    <x v="0"/>
    <x v="0"/>
    <x v="0"/>
    <x v="3"/>
    <x v="3"/>
    <x v="11"/>
    <x v="1"/>
  </r>
  <r>
    <s v="TX502183"/>
    <x v="17"/>
    <x v="15"/>
    <n v="51.6"/>
    <n v="670.80000000000007"/>
    <x v="79"/>
    <x v="77"/>
    <x v="3"/>
    <x v="1"/>
    <x v="2"/>
    <x v="0"/>
    <x v="3"/>
    <x v="2"/>
    <x v="11"/>
    <x v="3"/>
  </r>
  <r>
    <s v="TX502184"/>
    <x v="8"/>
    <x v="2"/>
    <n v="20.6"/>
    <n v="61.800000000000004"/>
    <x v="79"/>
    <x v="82"/>
    <x v="2"/>
    <x v="4"/>
    <x v="2"/>
    <x v="0"/>
    <x v="3"/>
    <x v="5"/>
    <x v="11"/>
    <x v="2"/>
  </r>
  <r>
    <s v="TX502185"/>
    <x v="8"/>
    <x v="0"/>
    <n v="24.8"/>
    <n v="24.8"/>
    <x v="79"/>
    <x v="80"/>
    <x v="1"/>
    <x v="4"/>
    <x v="0"/>
    <x v="0"/>
    <x v="3"/>
    <x v="3"/>
    <x v="11"/>
    <x v="1"/>
  </r>
  <r>
    <s v="TX502186"/>
    <x v="0"/>
    <x v="3"/>
    <n v="11.2"/>
    <n v="78.399999999999991"/>
    <x v="79"/>
    <x v="77"/>
    <x v="1"/>
    <x v="1"/>
    <x v="0"/>
    <x v="0"/>
    <x v="3"/>
    <x v="2"/>
    <x v="11"/>
    <x v="1"/>
  </r>
  <r>
    <s v="TX502187"/>
    <x v="11"/>
    <x v="1"/>
    <n v="51.2"/>
    <n v="102.4"/>
    <x v="79"/>
    <x v="80"/>
    <x v="2"/>
    <x v="1"/>
    <x v="2"/>
    <x v="0"/>
    <x v="3"/>
    <x v="3"/>
    <x v="11"/>
    <x v="2"/>
  </r>
  <r>
    <s v="TX502188"/>
    <x v="7"/>
    <x v="13"/>
    <n v="90.5"/>
    <n v="543"/>
    <x v="79"/>
    <x v="80"/>
    <x v="2"/>
    <x v="1"/>
    <x v="4"/>
    <x v="0"/>
    <x v="3"/>
    <x v="3"/>
    <x v="11"/>
    <x v="2"/>
  </r>
  <r>
    <s v="TX502189"/>
    <x v="1"/>
    <x v="1"/>
    <n v="42.4"/>
    <n v="84.8"/>
    <x v="79"/>
    <x v="80"/>
    <x v="1"/>
    <x v="1"/>
    <x v="2"/>
    <x v="0"/>
    <x v="4"/>
    <x v="3"/>
    <x v="11"/>
    <x v="1"/>
  </r>
  <r>
    <s v="TX502190"/>
    <x v="1"/>
    <x v="1"/>
    <n v="38.200000000000003"/>
    <n v="76.400000000000006"/>
    <x v="79"/>
    <x v="80"/>
    <x v="1"/>
    <x v="0"/>
    <x v="0"/>
    <x v="0"/>
    <x v="5"/>
    <x v="3"/>
    <x v="11"/>
    <x v="1"/>
  </r>
  <r>
    <s v="TX502191"/>
    <x v="2"/>
    <x v="11"/>
    <n v="121.3"/>
    <n v="1091.7"/>
    <x v="79"/>
    <x v="81"/>
    <x v="1"/>
    <x v="0"/>
    <x v="0"/>
    <x v="0"/>
    <x v="6"/>
    <x v="0"/>
    <x v="11"/>
    <x v="1"/>
  </r>
  <r>
    <s v="TX502192"/>
    <x v="6"/>
    <x v="1"/>
    <n v="46.9"/>
    <n v="93.8"/>
    <x v="79"/>
    <x v="86"/>
    <x v="1"/>
    <x v="0"/>
    <x v="0"/>
    <x v="0"/>
    <x v="8"/>
    <x v="6"/>
    <x v="11"/>
    <x v="1"/>
  </r>
  <r>
    <s v="TX502193"/>
    <x v="10"/>
    <x v="0"/>
    <n v="55.3"/>
    <n v="55.3"/>
    <x v="79"/>
    <x v="79"/>
    <x v="1"/>
    <x v="0"/>
    <x v="0"/>
    <x v="0"/>
    <x v="8"/>
    <x v="1"/>
    <x v="11"/>
    <x v="1"/>
  </r>
  <r>
    <s v="TX502194"/>
    <x v="2"/>
    <x v="2"/>
    <n v="70.599999999999994"/>
    <n v="211.79999999999998"/>
    <x v="80"/>
    <x v="80"/>
    <x v="2"/>
    <x v="0"/>
    <x v="1"/>
    <x v="0"/>
    <x v="8"/>
    <x v="7"/>
    <x v="11"/>
    <x v="2"/>
  </r>
  <r>
    <s v="TX502195"/>
    <x v="14"/>
    <x v="12"/>
    <n v="26.1"/>
    <n v="104.4"/>
    <x v="80"/>
    <x v="77"/>
    <x v="1"/>
    <x v="0"/>
    <x v="0"/>
    <x v="0"/>
    <x v="8"/>
    <x v="1"/>
    <x v="11"/>
    <x v="1"/>
  </r>
  <r>
    <s v="TX502196"/>
    <x v="9"/>
    <x v="5"/>
    <n v="34.5"/>
    <n v="379.5"/>
    <x v="80"/>
    <x v="81"/>
    <x v="1"/>
    <x v="2"/>
    <x v="0"/>
    <x v="0"/>
    <x v="17"/>
    <x v="5"/>
    <x v="11"/>
    <x v="1"/>
  </r>
  <r>
    <s v="TX502197"/>
    <x v="1"/>
    <x v="1"/>
    <n v="64.2"/>
    <n v="128.4"/>
    <x v="80"/>
    <x v="79"/>
    <x v="2"/>
    <x v="0"/>
    <x v="1"/>
    <x v="0"/>
    <x v="17"/>
    <x v="3"/>
    <x v="11"/>
    <x v="2"/>
  </r>
  <r>
    <s v="TX502198"/>
    <x v="2"/>
    <x v="12"/>
    <n v="145.69999999999999"/>
    <n v="582.79999999999995"/>
    <x v="80"/>
    <x v="79"/>
    <x v="2"/>
    <x v="0"/>
    <x v="4"/>
    <x v="0"/>
    <x v="17"/>
    <x v="3"/>
    <x v="11"/>
    <x v="2"/>
  </r>
  <r>
    <s v="TX502199"/>
    <x v="12"/>
    <x v="1"/>
    <n v="78.5"/>
    <n v="157"/>
    <x v="80"/>
    <x v="79"/>
    <x v="1"/>
    <x v="2"/>
    <x v="0"/>
    <x v="0"/>
    <x v="26"/>
    <x v="3"/>
    <x v="11"/>
    <x v="1"/>
  </r>
  <r>
    <s v="TX502200"/>
    <x v="1"/>
    <x v="0"/>
    <n v="34.200000000000003"/>
    <n v="34.200000000000003"/>
    <x v="80"/>
    <x v="77"/>
    <x v="1"/>
    <x v="0"/>
    <x v="0"/>
    <x v="0"/>
    <x v="9"/>
    <x v="1"/>
    <x v="11"/>
    <x v="1"/>
  </r>
  <r>
    <s v="TX502201"/>
    <x v="19"/>
    <x v="0"/>
    <n v="26.2"/>
    <n v="26.2"/>
    <x v="80"/>
    <x v="79"/>
    <x v="1"/>
    <x v="2"/>
    <x v="0"/>
    <x v="0"/>
    <x v="9"/>
    <x v="3"/>
    <x v="11"/>
    <x v="1"/>
  </r>
  <r>
    <s v="TX502202"/>
    <x v="6"/>
    <x v="12"/>
    <n v="53.2"/>
    <n v="212.8"/>
    <x v="80"/>
    <x v="79"/>
    <x v="1"/>
    <x v="1"/>
    <x v="1"/>
    <x v="0"/>
    <x v="11"/>
    <x v="3"/>
    <x v="11"/>
    <x v="1"/>
  </r>
  <r>
    <s v="TX502203"/>
    <x v="1"/>
    <x v="0"/>
    <n v="35.4"/>
    <n v="35.4"/>
    <x v="80"/>
    <x v="81"/>
    <x v="1"/>
    <x v="1"/>
    <x v="4"/>
    <x v="0"/>
    <x v="18"/>
    <x v="5"/>
    <x v="11"/>
    <x v="1"/>
  </r>
  <r>
    <s v="TX502204"/>
    <x v="14"/>
    <x v="1"/>
    <n v="21.3"/>
    <n v="42.6"/>
    <x v="80"/>
    <x v="79"/>
    <x v="1"/>
    <x v="2"/>
    <x v="0"/>
    <x v="0"/>
    <x v="20"/>
    <x v="3"/>
    <x v="11"/>
    <x v="1"/>
  </r>
  <r>
    <s v="TX502205"/>
    <x v="8"/>
    <x v="12"/>
    <n v="32.9"/>
    <n v="131.6"/>
    <x v="80"/>
    <x v="82"/>
    <x v="2"/>
    <x v="4"/>
    <x v="2"/>
    <x v="0"/>
    <x v="21"/>
    <x v="2"/>
    <x v="11"/>
    <x v="2"/>
  </r>
  <r>
    <s v="TX502206"/>
    <x v="5"/>
    <x v="20"/>
    <n v="85.5"/>
    <n v="1282.5"/>
    <x v="80"/>
    <x v="77"/>
    <x v="2"/>
    <x v="3"/>
    <x v="1"/>
    <x v="0"/>
    <x v="21"/>
    <x v="1"/>
    <x v="11"/>
    <x v="2"/>
  </r>
  <r>
    <s v="TX502207"/>
    <x v="4"/>
    <x v="0"/>
    <n v="26.8"/>
    <n v="26.8"/>
    <x v="80"/>
    <x v="79"/>
    <x v="2"/>
    <x v="0"/>
    <x v="1"/>
    <x v="0"/>
    <x v="2"/>
    <x v="3"/>
    <x v="11"/>
    <x v="2"/>
  </r>
  <r>
    <s v="TX502208"/>
    <x v="9"/>
    <x v="18"/>
    <n v="31.7"/>
    <n v="824.19999999999993"/>
    <x v="80"/>
    <x v="80"/>
    <x v="2"/>
    <x v="3"/>
    <x v="0"/>
    <x v="0"/>
    <x v="2"/>
    <x v="7"/>
    <x v="11"/>
    <x v="2"/>
  </r>
  <r>
    <s v="TX502209"/>
    <x v="1"/>
    <x v="1"/>
    <n v="78.3"/>
    <n v="156.6"/>
    <x v="80"/>
    <x v="77"/>
    <x v="2"/>
    <x v="1"/>
    <x v="1"/>
    <x v="0"/>
    <x v="3"/>
    <x v="1"/>
    <x v="11"/>
    <x v="2"/>
  </r>
  <r>
    <s v="TX502210"/>
    <x v="6"/>
    <x v="0"/>
    <n v="43.9"/>
    <n v="43.9"/>
    <x v="80"/>
    <x v="79"/>
    <x v="1"/>
    <x v="0"/>
    <x v="0"/>
    <x v="0"/>
    <x v="3"/>
    <x v="3"/>
    <x v="11"/>
    <x v="1"/>
  </r>
  <r>
    <s v="TX502211"/>
    <x v="18"/>
    <x v="2"/>
    <n v="84"/>
    <n v="252"/>
    <x v="80"/>
    <x v="77"/>
    <x v="0"/>
    <x v="3"/>
    <x v="2"/>
    <x v="0"/>
    <x v="3"/>
    <x v="1"/>
    <x v="11"/>
    <x v="0"/>
  </r>
  <r>
    <s v="TX502212"/>
    <x v="0"/>
    <x v="2"/>
    <n v="11.4"/>
    <n v="34.200000000000003"/>
    <x v="80"/>
    <x v="79"/>
    <x v="1"/>
    <x v="4"/>
    <x v="0"/>
    <x v="0"/>
    <x v="3"/>
    <x v="3"/>
    <x v="11"/>
    <x v="1"/>
  </r>
  <r>
    <s v="TX502213"/>
    <x v="12"/>
    <x v="8"/>
    <n v="47.5"/>
    <n v="380"/>
    <x v="80"/>
    <x v="89"/>
    <x v="2"/>
    <x v="0"/>
    <x v="0"/>
    <x v="0"/>
    <x v="3"/>
    <x v="9"/>
    <x v="11"/>
    <x v="2"/>
  </r>
  <r>
    <s v="TX502214"/>
    <x v="9"/>
    <x v="5"/>
    <n v="50.5"/>
    <n v="555.5"/>
    <x v="80"/>
    <x v="77"/>
    <x v="1"/>
    <x v="2"/>
    <x v="0"/>
    <x v="0"/>
    <x v="3"/>
    <x v="1"/>
    <x v="11"/>
    <x v="1"/>
  </r>
  <r>
    <s v="TX502215"/>
    <x v="15"/>
    <x v="0"/>
    <n v="36.299999999999997"/>
    <n v="36.299999999999997"/>
    <x v="80"/>
    <x v="82"/>
    <x v="3"/>
    <x v="0"/>
    <x v="1"/>
    <x v="0"/>
    <x v="8"/>
    <x v="2"/>
    <x v="11"/>
    <x v="3"/>
  </r>
  <r>
    <s v="TX502216"/>
    <x v="8"/>
    <x v="1"/>
    <n v="35.4"/>
    <n v="70.8"/>
    <x v="80"/>
    <x v="79"/>
    <x v="2"/>
    <x v="0"/>
    <x v="0"/>
    <x v="0"/>
    <x v="17"/>
    <x v="3"/>
    <x v="11"/>
    <x v="2"/>
  </r>
  <r>
    <s v="TX502217"/>
    <x v="1"/>
    <x v="2"/>
    <n v="45.9"/>
    <n v="137.69999999999999"/>
    <x v="81"/>
    <x v="77"/>
    <x v="1"/>
    <x v="3"/>
    <x v="0"/>
    <x v="0"/>
    <x v="9"/>
    <x v="3"/>
    <x v="12"/>
    <x v="1"/>
  </r>
  <r>
    <s v="TX502218"/>
    <x v="6"/>
    <x v="7"/>
    <n v="41.2"/>
    <n v="412"/>
    <x v="81"/>
    <x v="87"/>
    <x v="1"/>
    <x v="0"/>
    <x v="0"/>
    <x v="0"/>
    <x v="11"/>
    <x v="5"/>
    <x v="12"/>
    <x v="1"/>
  </r>
  <r>
    <s v="TX502219"/>
    <x v="17"/>
    <x v="1"/>
    <n v="45.1"/>
    <n v="90.2"/>
    <x v="81"/>
    <x v="77"/>
    <x v="1"/>
    <x v="1"/>
    <x v="1"/>
    <x v="0"/>
    <x v="21"/>
    <x v="3"/>
    <x v="12"/>
    <x v="1"/>
  </r>
  <r>
    <s v="TX502220"/>
    <x v="6"/>
    <x v="7"/>
    <n v="63.6"/>
    <n v="636"/>
    <x v="81"/>
    <x v="79"/>
    <x v="1"/>
    <x v="2"/>
    <x v="0"/>
    <x v="0"/>
    <x v="1"/>
    <x v="7"/>
    <x v="12"/>
    <x v="1"/>
  </r>
  <r>
    <s v="TX502221"/>
    <x v="8"/>
    <x v="0"/>
    <n v="70.5"/>
    <n v="70.5"/>
    <x v="81"/>
    <x v="77"/>
    <x v="1"/>
    <x v="0"/>
    <x v="0"/>
    <x v="0"/>
    <x v="3"/>
    <x v="3"/>
    <x v="12"/>
    <x v="1"/>
  </r>
  <r>
    <s v="TX502222"/>
    <x v="6"/>
    <x v="0"/>
    <n v="41.3"/>
    <n v="41.3"/>
    <x v="81"/>
    <x v="79"/>
    <x v="1"/>
    <x v="4"/>
    <x v="0"/>
    <x v="0"/>
    <x v="3"/>
    <x v="7"/>
    <x v="12"/>
    <x v="1"/>
  </r>
  <r>
    <s v="TX502223"/>
    <x v="4"/>
    <x v="0"/>
    <n v="35.299999999999997"/>
    <n v="35.299999999999997"/>
    <x v="81"/>
    <x v="81"/>
    <x v="2"/>
    <x v="4"/>
    <x v="2"/>
    <x v="0"/>
    <x v="3"/>
    <x v="2"/>
    <x v="12"/>
    <x v="2"/>
  </r>
  <r>
    <s v="TX502224"/>
    <x v="8"/>
    <x v="9"/>
    <n v="34.700000000000003"/>
    <n v="173.5"/>
    <x v="81"/>
    <x v="77"/>
    <x v="2"/>
    <x v="0"/>
    <x v="2"/>
    <x v="0"/>
    <x v="3"/>
    <x v="3"/>
    <x v="12"/>
    <x v="2"/>
  </r>
  <r>
    <s v="TX502225"/>
    <x v="8"/>
    <x v="2"/>
    <n v="26.1"/>
    <n v="78.300000000000011"/>
    <x v="81"/>
    <x v="77"/>
    <x v="2"/>
    <x v="0"/>
    <x v="0"/>
    <x v="0"/>
    <x v="3"/>
    <x v="3"/>
    <x v="12"/>
    <x v="2"/>
  </r>
  <r>
    <s v="TX502226"/>
    <x v="9"/>
    <x v="9"/>
    <n v="22.6"/>
    <n v="113"/>
    <x v="81"/>
    <x v="79"/>
    <x v="2"/>
    <x v="1"/>
    <x v="2"/>
    <x v="0"/>
    <x v="3"/>
    <x v="7"/>
    <x v="12"/>
    <x v="2"/>
  </r>
  <r>
    <s v="TX502227"/>
    <x v="2"/>
    <x v="1"/>
    <n v="154.4"/>
    <n v="308.8"/>
    <x v="81"/>
    <x v="81"/>
    <x v="1"/>
    <x v="1"/>
    <x v="1"/>
    <x v="0"/>
    <x v="3"/>
    <x v="2"/>
    <x v="12"/>
    <x v="1"/>
  </r>
  <r>
    <s v="TX502228"/>
    <x v="8"/>
    <x v="1"/>
    <n v="18.399999999999999"/>
    <n v="36.799999999999997"/>
    <x v="81"/>
    <x v="77"/>
    <x v="1"/>
    <x v="0"/>
    <x v="0"/>
    <x v="0"/>
    <x v="3"/>
    <x v="3"/>
    <x v="12"/>
    <x v="1"/>
  </r>
  <r>
    <s v="TX502229"/>
    <x v="14"/>
    <x v="0"/>
    <n v="25"/>
    <n v="25"/>
    <x v="81"/>
    <x v="81"/>
    <x v="2"/>
    <x v="0"/>
    <x v="0"/>
    <x v="0"/>
    <x v="3"/>
    <x v="2"/>
    <x v="12"/>
    <x v="2"/>
  </r>
  <r>
    <s v="TX502230"/>
    <x v="2"/>
    <x v="13"/>
    <n v="105.6"/>
    <n v="633.59999999999991"/>
    <x v="81"/>
    <x v="79"/>
    <x v="2"/>
    <x v="0"/>
    <x v="0"/>
    <x v="0"/>
    <x v="3"/>
    <x v="7"/>
    <x v="12"/>
    <x v="2"/>
  </r>
  <r>
    <s v="TX502231"/>
    <x v="18"/>
    <x v="8"/>
    <n v="59.6"/>
    <n v="476.8"/>
    <x v="81"/>
    <x v="79"/>
    <x v="2"/>
    <x v="0"/>
    <x v="2"/>
    <x v="0"/>
    <x v="23"/>
    <x v="7"/>
    <x v="12"/>
    <x v="2"/>
  </r>
  <r>
    <s v="TX502232"/>
    <x v="15"/>
    <x v="2"/>
    <n v="75.400000000000006"/>
    <n v="226.20000000000002"/>
    <x v="81"/>
    <x v="86"/>
    <x v="1"/>
    <x v="0"/>
    <x v="1"/>
    <x v="0"/>
    <x v="7"/>
    <x v="0"/>
    <x v="12"/>
    <x v="1"/>
  </r>
  <r>
    <s v="TX502233"/>
    <x v="7"/>
    <x v="0"/>
    <n v="104.4"/>
    <n v="104.4"/>
    <x v="81"/>
    <x v="77"/>
    <x v="2"/>
    <x v="0"/>
    <x v="0"/>
    <x v="0"/>
    <x v="8"/>
    <x v="3"/>
    <x v="12"/>
    <x v="2"/>
  </r>
  <r>
    <s v="TX502234"/>
    <x v="2"/>
    <x v="7"/>
    <n v="208.2"/>
    <n v="2082"/>
    <x v="81"/>
    <x v="77"/>
    <x v="1"/>
    <x v="0"/>
    <x v="2"/>
    <x v="0"/>
    <x v="8"/>
    <x v="3"/>
    <x v="12"/>
    <x v="1"/>
  </r>
  <r>
    <s v="TX502235"/>
    <x v="6"/>
    <x v="1"/>
    <n v="45"/>
    <n v="90"/>
    <x v="81"/>
    <x v="81"/>
    <x v="2"/>
    <x v="0"/>
    <x v="0"/>
    <x v="0"/>
    <x v="10"/>
    <x v="2"/>
    <x v="12"/>
    <x v="2"/>
  </r>
  <r>
    <s v="TX502236"/>
    <x v="15"/>
    <x v="1"/>
    <n v="20.3"/>
    <n v="40.6"/>
    <x v="82"/>
    <x v="81"/>
    <x v="0"/>
    <x v="1"/>
    <x v="0"/>
    <x v="0"/>
    <x v="11"/>
    <x v="1"/>
    <x v="12"/>
    <x v="0"/>
  </r>
  <r>
    <s v="TX502237"/>
    <x v="2"/>
    <x v="2"/>
    <n v="94.4"/>
    <n v="283.20000000000005"/>
    <x v="82"/>
    <x v="82"/>
    <x v="2"/>
    <x v="0"/>
    <x v="2"/>
    <x v="0"/>
    <x v="11"/>
    <x v="3"/>
    <x v="12"/>
    <x v="2"/>
  </r>
  <r>
    <s v="TX502238"/>
    <x v="9"/>
    <x v="0"/>
    <n v="49"/>
    <n v="49"/>
    <x v="82"/>
    <x v="81"/>
    <x v="2"/>
    <x v="0"/>
    <x v="2"/>
    <x v="0"/>
    <x v="20"/>
    <x v="1"/>
    <x v="12"/>
    <x v="2"/>
  </r>
  <r>
    <s v="TX502239"/>
    <x v="4"/>
    <x v="1"/>
    <n v="27.2"/>
    <n v="54.4"/>
    <x v="82"/>
    <x v="81"/>
    <x v="1"/>
    <x v="0"/>
    <x v="2"/>
    <x v="0"/>
    <x v="1"/>
    <x v="1"/>
    <x v="12"/>
    <x v="1"/>
  </r>
  <r>
    <s v="TX502240"/>
    <x v="2"/>
    <x v="13"/>
    <n v="72.599999999999994"/>
    <n v="435.59999999999997"/>
    <x v="82"/>
    <x v="82"/>
    <x v="2"/>
    <x v="0"/>
    <x v="2"/>
    <x v="0"/>
    <x v="2"/>
    <x v="3"/>
    <x v="12"/>
    <x v="2"/>
  </r>
  <r>
    <s v="TX502241"/>
    <x v="15"/>
    <x v="12"/>
    <n v="62.4"/>
    <n v="249.6"/>
    <x v="82"/>
    <x v="82"/>
    <x v="2"/>
    <x v="0"/>
    <x v="0"/>
    <x v="0"/>
    <x v="3"/>
    <x v="3"/>
    <x v="12"/>
    <x v="2"/>
  </r>
  <r>
    <s v="TX502242"/>
    <x v="8"/>
    <x v="2"/>
    <n v="19.100000000000001"/>
    <n v="57.300000000000004"/>
    <x v="82"/>
    <x v="81"/>
    <x v="1"/>
    <x v="0"/>
    <x v="1"/>
    <x v="0"/>
    <x v="3"/>
    <x v="1"/>
    <x v="12"/>
    <x v="1"/>
  </r>
  <r>
    <s v="TX502243"/>
    <x v="10"/>
    <x v="0"/>
    <n v="29.6"/>
    <n v="29.6"/>
    <x v="82"/>
    <x v="86"/>
    <x v="1"/>
    <x v="0"/>
    <x v="4"/>
    <x v="0"/>
    <x v="3"/>
    <x v="5"/>
    <x v="12"/>
    <x v="1"/>
  </r>
  <r>
    <s v="TX502244"/>
    <x v="8"/>
    <x v="1"/>
    <n v="18.899999999999999"/>
    <n v="37.799999999999997"/>
    <x v="82"/>
    <x v="81"/>
    <x v="2"/>
    <x v="4"/>
    <x v="2"/>
    <x v="0"/>
    <x v="3"/>
    <x v="1"/>
    <x v="12"/>
    <x v="2"/>
  </r>
  <r>
    <s v="TX502245"/>
    <x v="10"/>
    <x v="9"/>
    <n v="41.4"/>
    <n v="207"/>
    <x v="82"/>
    <x v="82"/>
    <x v="1"/>
    <x v="3"/>
    <x v="0"/>
    <x v="0"/>
    <x v="3"/>
    <x v="3"/>
    <x v="12"/>
    <x v="1"/>
  </r>
  <r>
    <s v="TX502246"/>
    <x v="2"/>
    <x v="0"/>
    <n v="118.4"/>
    <n v="118.4"/>
    <x v="82"/>
    <x v="82"/>
    <x v="2"/>
    <x v="0"/>
    <x v="2"/>
    <x v="0"/>
    <x v="3"/>
    <x v="3"/>
    <x v="12"/>
    <x v="2"/>
  </r>
  <r>
    <s v="TX502247"/>
    <x v="2"/>
    <x v="1"/>
    <n v="125.3"/>
    <n v="250.6"/>
    <x v="82"/>
    <x v="87"/>
    <x v="2"/>
    <x v="0"/>
    <x v="2"/>
    <x v="0"/>
    <x v="3"/>
    <x v="2"/>
    <x v="12"/>
    <x v="2"/>
  </r>
  <r>
    <s v="TX502248"/>
    <x v="3"/>
    <x v="1"/>
    <n v="85.8"/>
    <n v="171.6"/>
    <x v="82"/>
    <x v="82"/>
    <x v="2"/>
    <x v="1"/>
    <x v="4"/>
    <x v="0"/>
    <x v="3"/>
    <x v="3"/>
    <x v="12"/>
    <x v="2"/>
  </r>
  <r>
    <s v="TX502249"/>
    <x v="6"/>
    <x v="0"/>
    <n v="44.2"/>
    <n v="44.2"/>
    <x v="82"/>
    <x v="87"/>
    <x v="1"/>
    <x v="1"/>
    <x v="0"/>
    <x v="0"/>
    <x v="3"/>
    <x v="2"/>
    <x v="12"/>
    <x v="1"/>
  </r>
  <r>
    <s v="TX502250"/>
    <x v="5"/>
    <x v="12"/>
    <n v="74.099999999999994"/>
    <n v="296.39999999999998"/>
    <x v="82"/>
    <x v="81"/>
    <x v="2"/>
    <x v="0"/>
    <x v="0"/>
    <x v="0"/>
    <x v="3"/>
    <x v="1"/>
    <x v="12"/>
    <x v="2"/>
  </r>
  <r>
    <s v="TX502251"/>
    <x v="8"/>
    <x v="0"/>
    <n v="33.799999999999997"/>
    <n v="33.799999999999997"/>
    <x v="82"/>
    <x v="82"/>
    <x v="2"/>
    <x v="2"/>
    <x v="2"/>
    <x v="0"/>
    <x v="24"/>
    <x v="3"/>
    <x v="12"/>
    <x v="2"/>
  </r>
  <r>
    <s v="TX502252"/>
    <x v="1"/>
    <x v="1"/>
    <n v="39.1"/>
    <n v="78.2"/>
    <x v="82"/>
    <x v="82"/>
    <x v="1"/>
    <x v="0"/>
    <x v="1"/>
    <x v="0"/>
    <x v="24"/>
    <x v="3"/>
    <x v="12"/>
    <x v="1"/>
  </r>
  <r>
    <s v="TX502253"/>
    <x v="0"/>
    <x v="0"/>
    <n v="37.200000000000003"/>
    <n v="37.200000000000003"/>
    <x v="82"/>
    <x v="82"/>
    <x v="1"/>
    <x v="0"/>
    <x v="1"/>
    <x v="0"/>
    <x v="16"/>
    <x v="3"/>
    <x v="12"/>
    <x v="1"/>
  </r>
  <r>
    <s v="TX502254"/>
    <x v="15"/>
    <x v="2"/>
    <n v="33.9"/>
    <n v="101.69999999999999"/>
    <x v="82"/>
    <x v="81"/>
    <x v="1"/>
    <x v="2"/>
    <x v="0"/>
    <x v="0"/>
    <x v="6"/>
    <x v="1"/>
    <x v="12"/>
    <x v="1"/>
  </r>
  <r>
    <s v="TX502255"/>
    <x v="7"/>
    <x v="20"/>
    <n v="73.3"/>
    <n v="1099.5"/>
    <x v="82"/>
    <x v="87"/>
    <x v="2"/>
    <x v="2"/>
    <x v="1"/>
    <x v="0"/>
    <x v="8"/>
    <x v="2"/>
    <x v="12"/>
    <x v="2"/>
  </r>
  <r>
    <s v="TX502256"/>
    <x v="8"/>
    <x v="12"/>
    <n v="35"/>
    <n v="140"/>
    <x v="82"/>
    <x v="81"/>
    <x v="2"/>
    <x v="1"/>
    <x v="0"/>
    <x v="0"/>
    <x v="8"/>
    <x v="1"/>
    <x v="12"/>
    <x v="2"/>
  </r>
  <r>
    <s v="TX502257"/>
    <x v="0"/>
    <x v="2"/>
    <n v="22.2"/>
    <n v="66.599999999999994"/>
    <x v="82"/>
    <x v="82"/>
    <x v="1"/>
    <x v="1"/>
    <x v="0"/>
    <x v="0"/>
    <x v="17"/>
    <x v="3"/>
    <x v="12"/>
    <x v="1"/>
  </r>
  <r>
    <s v="TX502258"/>
    <x v="10"/>
    <x v="0"/>
    <n v="32.4"/>
    <n v="32.4"/>
    <x v="82"/>
    <x v="82"/>
    <x v="2"/>
    <x v="0"/>
    <x v="0"/>
    <x v="0"/>
    <x v="11"/>
    <x v="3"/>
    <x v="12"/>
    <x v="2"/>
  </r>
  <r>
    <s v="TX502259"/>
    <x v="5"/>
    <x v="2"/>
    <n v="88.4"/>
    <n v="265.20000000000005"/>
    <x v="83"/>
    <x v="87"/>
    <x v="2"/>
    <x v="1"/>
    <x v="1"/>
    <x v="0"/>
    <x v="11"/>
    <x v="1"/>
    <x v="12"/>
    <x v="2"/>
  </r>
  <r>
    <s v="TX502260"/>
    <x v="5"/>
    <x v="27"/>
    <n v="30.5"/>
    <n v="488"/>
    <x v="83"/>
    <x v="81"/>
    <x v="2"/>
    <x v="2"/>
    <x v="0"/>
    <x v="0"/>
    <x v="11"/>
    <x v="3"/>
    <x v="12"/>
    <x v="2"/>
  </r>
  <r>
    <s v="TX502261"/>
    <x v="1"/>
    <x v="13"/>
    <n v="38.1"/>
    <n v="228.60000000000002"/>
    <x v="83"/>
    <x v="87"/>
    <x v="2"/>
    <x v="0"/>
    <x v="1"/>
    <x v="0"/>
    <x v="11"/>
    <x v="1"/>
    <x v="12"/>
    <x v="2"/>
  </r>
  <r>
    <s v="TX502262"/>
    <x v="10"/>
    <x v="9"/>
    <n v="37.6"/>
    <n v="188"/>
    <x v="83"/>
    <x v="90"/>
    <x v="1"/>
    <x v="0"/>
    <x v="0"/>
    <x v="0"/>
    <x v="11"/>
    <x v="5"/>
    <x v="12"/>
    <x v="1"/>
  </r>
  <r>
    <s v="TX502263"/>
    <x v="15"/>
    <x v="1"/>
    <n v="31.4"/>
    <n v="62.8"/>
    <x v="83"/>
    <x v="81"/>
    <x v="1"/>
    <x v="0"/>
    <x v="2"/>
    <x v="0"/>
    <x v="11"/>
    <x v="3"/>
    <x v="12"/>
    <x v="1"/>
  </r>
  <r>
    <s v="TX502264"/>
    <x v="6"/>
    <x v="1"/>
    <n v="61.5"/>
    <n v="123"/>
    <x v="83"/>
    <x v="81"/>
    <x v="1"/>
    <x v="3"/>
    <x v="0"/>
    <x v="0"/>
    <x v="31"/>
    <x v="3"/>
    <x v="12"/>
    <x v="1"/>
  </r>
  <r>
    <s v="TX502265"/>
    <x v="6"/>
    <x v="0"/>
    <n v="72.599999999999994"/>
    <n v="72.599999999999994"/>
    <x v="83"/>
    <x v="81"/>
    <x v="1"/>
    <x v="0"/>
    <x v="1"/>
    <x v="0"/>
    <x v="21"/>
    <x v="3"/>
    <x v="12"/>
    <x v="1"/>
  </r>
  <r>
    <s v="TX502266"/>
    <x v="9"/>
    <x v="2"/>
    <n v="26.9"/>
    <n v="80.699999999999989"/>
    <x v="83"/>
    <x v="89"/>
    <x v="3"/>
    <x v="4"/>
    <x v="1"/>
    <x v="0"/>
    <x v="46"/>
    <x v="0"/>
    <x v="12"/>
    <x v="3"/>
  </r>
  <r>
    <s v="TX502267"/>
    <x v="17"/>
    <x v="4"/>
    <n v="29.4"/>
    <n v="352.79999999999995"/>
    <x v="83"/>
    <x v="81"/>
    <x v="2"/>
    <x v="1"/>
    <x v="0"/>
    <x v="0"/>
    <x v="51"/>
    <x v="3"/>
    <x v="12"/>
    <x v="2"/>
  </r>
  <r>
    <s v="TX502268"/>
    <x v="17"/>
    <x v="1"/>
    <n v="42.1"/>
    <n v="84.2"/>
    <x v="83"/>
    <x v="81"/>
    <x v="2"/>
    <x v="3"/>
    <x v="1"/>
    <x v="0"/>
    <x v="1"/>
    <x v="3"/>
    <x v="12"/>
    <x v="2"/>
  </r>
  <r>
    <s v="TX502269"/>
    <x v="5"/>
    <x v="0"/>
    <n v="40.5"/>
    <n v="40.5"/>
    <x v="83"/>
    <x v="81"/>
    <x v="2"/>
    <x v="2"/>
    <x v="1"/>
    <x v="0"/>
    <x v="1"/>
    <x v="3"/>
    <x v="12"/>
    <x v="2"/>
  </r>
  <r>
    <s v="TX502270"/>
    <x v="2"/>
    <x v="12"/>
    <n v="182.3"/>
    <n v="729.2"/>
    <x v="83"/>
    <x v="81"/>
    <x v="2"/>
    <x v="1"/>
    <x v="0"/>
    <x v="0"/>
    <x v="1"/>
    <x v="3"/>
    <x v="12"/>
    <x v="2"/>
  </r>
  <r>
    <s v="TX502271"/>
    <x v="2"/>
    <x v="9"/>
    <n v="157"/>
    <n v="785"/>
    <x v="83"/>
    <x v="86"/>
    <x v="2"/>
    <x v="1"/>
    <x v="2"/>
    <x v="0"/>
    <x v="2"/>
    <x v="2"/>
    <x v="12"/>
    <x v="2"/>
  </r>
  <r>
    <s v="TX502272"/>
    <x v="17"/>
    <x v="9"/>
    <n v="45.2"/>
    <n v="226"/>
    <x v="83"/>
    <x v="86"/>
    <x v="2"/>
    <x v="1"/>
    <x v="0"/>
    <x v="0"/>
    <x v="22"/>
    <x v="2"/>
    <x v="12"/>
    <x v="2"/>
  </r>
  <r>
    <s v="TX502273"/>
    <x v="15"/>
    <x v="12"/>
    <n v="27.4"/>
    <n v="109.6"/>
    <x v="83"/>
    <x v="87"/>
    <x v="2"/>
    <x v="0"/>
    <x v="0"/>
    <x v="0"/>
    <x v="3"/>
    <x v="1"/>
    <x v="12"/>
    <x v="2"/>
  </r>
  <r>
    <s v="TX502274"/>
    <x v="5"/>
    <x v="9"/>
    <n v="34.1"/>
    <n v="170.5"/>
    <x v="83"/>
    <x v="87"/>
    <x v="1"/>
    <x v="0"/>
    <x v="2"/>
    <x v="0"/>
    <x v="3"/>
    <x v="1"/>
    <x v="12"/>
    <x v="1"/>
  </r>
  <r>
    <s v="TX502275"/>
    <x v="0"/>
    <x v="1"/>
    <n v="26"/>
    <n v="52"/>
    <x v="83"/>
    <x v="87"/>
    <x v="1"/>
    <x v="2"/>
    <x v="1"/>
    <x v="0"/>
    <x v="3"/>
    <x v="1"/>
    <x v="12"/>
    <x v="1"/>
  </r>
  <r>
    <s v="TX502276"/>
    <x v="8"/>
    <x v="3"/>
    <n v="19.399999999999999"/>
    <n v="135.79999999999998"/>
    <x v="83"/>
    <x v="87"/>
    <x v="0"/>
    <x v="1"/>
    <x v="1"/>
    <x v="0"/>
    <x v="3"/>
    <x v="1"/>
    <x v="12"/>
    <x v="0"/>
  </r>
  <r>
    <s v="TX502277"/>
    <x v="16"/>
    <x v="2"/>
    <n v="30.3"/>
    <n v="90.9"/>
    <x v="83"/>
    <x v="86"/>
    <x v="2"/>
    <x v="1"/>
    <x v="2"/>
    <x v="0"/>
    <x v="3"/>
    <x v="2"/>
    <x v="12"/>
    <x v="2"/>
  </r>
  <r>
    <s v="TX502278"/>
    <x v="2"/>
    <x v="2"/>
    <n v="101.4"/>
    <n v="304.20000000000005"/>
    <x v="83"/>
    <x v="81"/>
    <x v="1"/>
    <x v="0"/>
    <x v="0"/>
    <x v="0"/>
    <x v="3"/>
    <x v="3"/>
    <x v="12"/>
    <x v="1"/>
  </r>
  <r>
    <s v="TX502279"/>
    <x v="3"/>
    <x v="9"/>
    <n v="55.5"/>
    <n v="277.5"/>
    <x v="83"/>
    <x v="86"/>
    <x v="1"/>
    <x v="1"/>
    <x v="0"/>
    <x v="0"/>
    <x v="24"/>
    <x v="2"/>
    <x v="12"/>
    <x v="1"/>
  </r>
  <r>
    <s v="TX502280"/>
    <x v="8"/>
    <x v="0"/>
    <n v="23.1"/>
    <n v="23.1"/>
    <x v="83"/>
    <x v="81"/>
    <x v="1"/>
    <x v="0"/>
    <x v="0"/>
    <x v="0"/>
    <x v="25"/>
    <x v="3"/>
    <x v="12"/>
    <x v="1"/>
  </r>
  <r>
    <s v="TX502281"/>
    <x v="18"/>
    <x v="1"/>
    <n v="38.9"/>
    <n v="77.8"/>
    <x v="83"/>
    <x v="81"/>
    <x v="1"/>
    <x v="2"/>
    <x v="0"/>
    <x v="0"/>
    <x v="25"/>
    <x v="3"/>
    <x v="12"/>
    <x v="1"/>
  </r>
  <r>
    <s v="TX502282"/>
    <x v="6"/>
    <x v="11"/>
    <n v="116.3"/>
    <n v="1046.7"/>
    <x v="83"/>
    <x v="90"/>
    <x v="2"/>
    <x v="0"/>
    <x v="0"/>
    <x v="0"/>
    <x v="5"/>
    <x v="5"/>
    <x v="12"/>
    <x v="2"/>
  </r>
  <r>
    <s v="TX502283"/>
    <x v="16"/>
    <x v="11"/>
    <n v="64.099999999999994"/>
    <n v="576.9"/>
    <x v="83"/>
    <x v="82"/>
    <x v="2"/>
    <x v="0"/>
    <x v="2"/>
    <x v="0"/>
    <x v="6"/>
    <x v="7"/>
    <x v="12"/>
    <x v="2"/>
  </r>
  <r>
    <s v="TX502284"/>
    <x v="2"/>
    <x v="13"/>
    <n v="109.2"/>
    <n v="655.20000000000005"/>
    <x v="83"/>
    <x v="87"/>
    <x v="1"/>
    <x v="0"/>
    <x v="1"/>
    <x v="0"/>
    <x v="8"/>
    <x v="1"/>
    <x v="12"/>
    <x v="1"/>
  </r>
  <r>
    <s v="TX502285"/>
    <x v="10"/>
    <x v="9"/>
    <n v="23.2"/>
    <n v="116"/>
    <x v="84"/>
    <x v="87"/>
    <x v="1"/>
    <x v="0"/>
    <x v="1"/>
    <x v="0"/>
    <x v="8"/>
    <x v="3"/>
    <x v="12"/>
    <x v="1"/>
  </r>
  <r>
    <s v="TX502286"/>
    <x v="18"/>
    <x v="13"/>
    <n v="81.2"/>
    <n v="487.20000000000005"/>
    <x v="84"/>
    <x v="86"/>
    <x v="1"/>
    <x v="2"/>
    <x v="2"/>
    <x v="0"/>
    <x v="8"/>
    <x v="1"/>
    <x v="12"/>
    <x v="1"/>
  </r>
  <r>
    <s v="TX502287"/>
    <x v="1"/>
    <x v="21"/>
    <n v="35.700000000000003"/>
    <n v="499.80000000000007"/>
    <x v="84"/>
    <x v="87"/>
    <x v="1"/>
    <x v="3"/>
    <x v="0"/>
    <x v="0"/>
    <x v="8"/>
    <x v="3"/>
    <x v="12"/>
    <x v="1"/>
  </r>
  <r>
    <s v="TX502288"/>
    <x v="7"/>
    <x v="1"/>
    <n v="44.5"/>
    <n v="89"/>
    <x v="84"/>
    <x v="90"/>
    <x v="1"/>
    <x v="4"/>
    <x v="0"/>
    <x v="0"/>
    <x v="9"/>
    <x v="2"/>
    <x v="12"/>
    <x v="1"/>
  </r>
  <r>
    <s v="TX502289"/>
    <x v="1"/>
    <x v="9"/>
    <n v="32"/>
    <n v="160"/>
    <x v="84"/>
    <x v="86"/>
    <x v="3"/>
    <x v="1"/>
    <x v="1"/>
    <x v="0"/>
    <x v="9"/>
    <x v="1"/>
    <x v="12"/>
    <x v="3"/>
  </r>
  <r>
    <s v="TX502290"/>
    <x v="8"/>
    <x v="0"/>
    <n v="25.7"/>
    <n v="25.7"/>
    <x v="84"/>
    <x v="87"/>
    <x v="1"/>
    <x v="0"/>
    <x v="0"/>
    <x v="0"/>
    <x v="10"/>
    <x v="3"/>
    <x v="12"/>
    <x v="1"/>
  </r>
  <r>
    <s v="TX502291"/>
    <x v="16"/>
    <x v="2"/>
    <n v="65.599999999999994"/>
    <n v="196.79999999999998"/>
    <x v="84"/>
    <x v="84"/>
    <x v="1"/>
    <x v="0"/>
    <x v="0"/>
    <x v="0"/>
    <x v="11"/>
    <x v="4"/>
    <x v="12"/>
    <x v="1"/>
  </r>
  <r>
    <s v="TX502292"/>
    <x v="1"/>
    <x v="12"/>
    <n v="52.1"/>
    <n v="208.4"/>
    <x v="84"/>
    <x v="87"/>
    <x v="2"/>
    <x v="0"/>
    <x v="2"/>
    <x v="0"/>
    <x v="11"/>
    <x v="3"/>
    <x v="12"/>
    <x v="2"/>
  </r>
  <r>
    <s v="TX502293"/>
    <x v="8"/>
    <x v="0"/>
    <n v="31"/>
    <n v="31"/>
    <x v="84"/>
    <x v="87"/>
    <x v="1"/>
    <x v="0"/>
    <x v="1"/>
    <x v="0"/>
    <x v="19"/>
    <x v="3"/>
    <x v="12"/>
    <x v="1"/>
  </r>
  <r>
    <s v="TX502294"/>
    <x v="8"/>
    <x v="0"/>
    <n v="32"/>
    <n v="32"/>
    <x v="84"/>
    <x v="86"/>
    <x v="3"/>
    <x v="3"/>
    <x v="1"/>
    <x v="0"/>
    <x v="31"/>
    <x v="1"/>
    <x v="12"/>
    <x v="3"/>
  </r>
  <r>
    <s v="TX502295"/>
    <x v="16"/>
    <x v="12"/>
    <n v="58.3"/>
    <n v="233.2"/>
    <x v="84"/>
    <x v="89"/>
    <x v="1"/>
    <x v="1"/>
    <x v="4"/>
    <x v="0"/>
    <x v="20"/>
    <x v="5"/>
    <x v="12"/>
    <x v="1"/>
  </r>
  <r>
    <s v="TX502296"/>
    <x v="8"/>
    <x v="2"/>
    <n v="31"/>
    <n v="93"/>
    <x v="84"/>
    <x v="86"/>
    <x v="2"/>
    <x v="2"/>
    <x v="4"/>
    <x v="0"/>
    <x v="13"/>
    <x v="1"/>
    <x v="12"/>
    <x v="2"/>
  </r>
  <r>
    <s v="TX502297"/>
    <x v="3"/>
    <x v="0"/>
    <n v="40.299999999999997"/>
    <n v="40.299999999999997"/>
    <x v="84"/>
    <x v="87"/>
    <x v="1"/>
    <x v="1"/>
    <x v="2"/>
    <x v="0"/>
    <x v="54"/>
    <x v="3"/>
    <x v="12"/>
    <x v="1"/>
  </r>
  <r>
    <s v="TX502298"/>
    <x v="6"/>
    <x v="2"/>
    <n v="47.3"/>
    <n v="141.89999999999998"/>
    <x v="84"/>
    <x v="86"/>
    <x v="1"/>
    <x v="4"/>
    <x v="2"/>
    <x v="0"/>
    <x v="2"/>
    <x v="1"/>
    <x v="12"/>
    <x v="1"/>
  </r>
  <r>
    <s v="TX502299"/>
    <x v="2"/>
    <x v="0"/>
    <n v="82.8"/>
    <n v="82.8"/>
    <x v="84"/>
    <x v="87"/>
    <x v="1"/>
    <x v="0"/>
    <x v="0"/>
    <x v="0"/>
    <x v="2"/>
    <x v="3"/>
    <x v="12"/>
    <x v="1"/>
  </r>
  <r>
    <s v="TX502300"/>
    <x v="8"/>
    <x v="0"/>
    <n v="18.5"/>
    <n v="18.5"/>
    <x v="84"/>
    <x v="91"/>
    <x v="2"/>
    <x v="0"/>
    <x v="0"/>
    <x v="0"/>
    <x v="44"/>
    <x v="12"/>
    <x v="12"/>
    <x v="2"/>
  </r>
  <r>
    <s v="TX502301"/>
    <x v="3"/>
    <x v="1"/>
    <n v="60.4"/>
    <n v="120.8"/>
    <x v="84"/>
    <x v="87"/>
    <x v="1"/>
    <x v="2"/>
    <x v="0"/>
    <x v="0"/>
    <x v="22"/>
    <x v="3"/>
    <x v="12"/>
    <x v="1"/>
  </r>
  <r>
    <s v="TX502302"/>
    <x v="6"/>
    <x v="9"/>
    <n v="80.2"/>
    <n v="401"/>
    <x v="84"/>
    <x v="92"/>
    <x v="1"/>
    <x v="1"/>
    <x v="1"/>
    <x v="0"/>
    <x v="50"/>
    <x v="6"/>
    <x v="12"/>
    <x v="1"/>
  </r>
  <r>
    <s v="TX502303"/>
    <x v="4"/>
    <x v="0"/>
    <n v="41.5"/>
    <n v="41.5"/>
    <x v="84"/>
    <x v="86"/>
    <x v="1"/>
    <x v="2"/>
    <x v="0"/>
    <x v="0"/>
    <x v="3"/>
    <x v="1"/>
    <x v="12"/>
    <x v="1"/>
  </r>
  <r>
    <s v="TX502304"/>
    <x v="2"/>
    <x v="1"/>
    <n v="83.9"/>
    <n v="167.8"/>
    <x v="84"/>
    <x v="90"/>
    <x v="2"/>
    <x v="0"/>
    <x v="0"/>
    <x v="0"/>
    <x v="3"/>
    <x v="2"/>
    <x v="12"/>
    <x v="2"/>
  </r>
  <r>
    <s v="TX502305"/>
    <x v="8"/>
    <x v="1"/>
    <n v="16.7"/>
    <n v="33.4"/>
    <x v="84"/>
    <x v="89"/>
    <x v="2"/>
    <x v="0"/>
    <x v="1"/>
    <x v="0"/>
    <x v="3"/>
    <x v="5"/>
    <x v="12"/>
    <x v="2"/>
  </r>
  <r>
    <s v="TX502306"/>
    <x v="9"/>
    <x v="1"/>
    <n v="72.900000000000006"/>
    <n v="145.80000000000001"/>
    <x v="84"/>
    <x v="87"/>
    <x v="1"/>
    <x v="2"/>
    <x v="1"/>
    <x v="0"/>
    <x v="3"/>
    <x v="3"/>
    <x v="12"/>
    <x v="1"/>
  </r>
  <r>
    <s v="TX502307"/>
    <x v="5"/>
    <x v="1"/>
    <n v="50.2"/>
    <n v="100.4"/>
    <x v="84"/>
    <x v="86"/>
    <x v="2"/>
    <x v="1"/>
    <x v="2"/>
    <x v="0"/>
    <x v="3"/>
    <x v="1"/>
    <x v="12"/>
    <x v="2"/>
  </r>
  <r>
    <s v="TX502308"/>
    <x v="3"/>
    <x v="1"/>
    <n v="34.200000000000003"/>
    <n v="68.400000000000006"/>
    <x v="84"/>
    <x v="93"/>
    <x v="0"/>
    <x v="1"/>
    <x v="0"/>
    <x v="0"/>
    <x v="3"/>
    <x v="14"/>
    <x v="12"/>
    <x v="0"/>
  </r>
  <r>
    <s v="TX502309"/>
    <x v="5"/>
    <x v="1"/>
    <n v="107.9"/>
    <n v="215.8"/>
    <x v="84"/>
    <x v="81"/>
    <x v="1"/>
    <x v="1"/>
    <x v="4"/>
    <x v="0"/>
    <x v="3"/>
    <x v="7"/>
    <x v="12"/>
    <x v="1"/>
  </r>
  <r>
    <s v="TX502310"/>
    <x v="0"/>
    <x v="2"/>
    <n v="17.5"/>
    <n v="52.5"/>
    <x v="84"/>
    <x v="86"/>
    <x v="1"/>
    <x v="4"/>
    <x v="0"/>
    <x v="0"/>
    <x v="3"/>
    <x v="1"/>
    <x v="12"/>
    <x v="1"/>
  </r>
  <r>
    <s v="TX502311"/>
    <x v="13"/>
    <x v="20"/>
    <n v="44.7"/>
    <n v="670.5"/>
    <x v="84"/>
    <x v="87"/>
    <x v="1"/>
    <x v="0"/>
    <x v="1"/>
    <x v="0"/>
    <x v="3"/>
    <x v="3"/>
    <x v="12"/>
    <x v="1"/>
  </r>
  <r>
    <s v="TX502312"/>
    <x v="12"/>
    <x v="13"/>
    <n v="92.7"/>
    <n v="556.20000000000005"/>
    <x v="84"/>
    <x v="86"/>
    <x v="2"/>
    <x v="2"/>
    <x v="1"/>
    <x v="0"/>
    <x v="3"/>
    <x v="1"/>
    <x v="12"/>
    <x v="2"/>
  </r>
  <r>
    <s v="TX502313"/>
    <x v="7"/>
    <x v="2"/>
    <n v="48.8"/>
    <n v="146.39999999999998"/>
    <x v="84"/>
    <x v="86"/>
    <x v="2"/>
    <x v="2"/>
    <x v="0"/>
    <x v="0"/>
    <x v="3"/>
    <x v="1"/>
    <x v="12"/>
    <x v="2"/>
  </r>
  <r>
    <s v="TX502314"/>
    <x v="4"/>
    <x v="27"/>
    <n v="21.3"/>
    <n v="340.8"/>
    <x v="84"/>
    <x v="89"/>
    <x v="2"/>
    <x v="3"/>
    <x v="3"/>
    <x v="0"/>
    <x v="3"/>
    <x v="5"/>
    <x v="12"/>
    <x v="2"/>
  </r>
  <r>
    <s v="TX502315"/>
    <x v="16"/>
    <x v="0"/>
    <n v="52.5"/>
    <n v="52.5"/>
    <x v="84"/>
    <x v="87"/>
    <x v="2"/>
    <x v="0"/>
    <x v="0"/>
    <x v="0"/>
    <x v="3"/>
    <x v="3"/>
    <x v="12"/>
    <x v="2"/>
  </r>
  <r>
    <s v="TX502316"/>
    <x v="1"/>
    <x v="1"/>
    <n v="92.4"/>
    <n v="184.8"/>
    <x v="84"/>
    <x v="84"/>
    <x v="2"/>
    <x v="0"/>
    <x v="2"/>
    <x v="0"/>
    <x v="3"/>
    <x v="4"/>
    <x v="12"/>
    <x v="2"/>
  </r>
  <r>
    <s v="TX502317"/>
    <x v="4"/>
    <x v="5"/>
    <n v="58.3"/>
    <n v="641.29999999999995"/>
    <x v="84"/>
    <x v="86"/>
    <x v="1"/>
    <x v="1"/>
    <x v="2"/>
    <x v="0"/>
    <x v="3"/>
    <x v="1"/>
    <x v="12"/>
    <x v="1"/>
  </r>
  <r>
    <s v="TX502318"/>
    <x v="6"/>
    <x v="44"/>
    <n v="152.6"/>
    <n v="3509.7999999999997"/>
    <x v="85"/>
    <x v="90"/>
    <x v="0"/>
    <x v="0"/>
    <x v="0"/>
    <x v="0"/>
    <x v="3"/>
    <x v="1"/>
    <x v="12"/>
    <x v="0"/>
  </r>
  <r>
    <s v="TX502319"/>
    <x v="8"/>
    <x v="1"/>
    <n v="26"/>
    <n v="52"/>
    <x v="85"/>
    <x v="87"/>
    <x v="0"/>
    <x v="0"/>
    <x v="1"/>
    <x v="0"/>
    <x v="3"/>
    <x v="7"/>
    <x v="12"/>
    <x v="0"/>
  </r>
  <r>
    <s v="TX502320"/>
    <x v="1"/>
    <x v="12"/>
    <n v="33.1"/>
    <n v="132.4"/>
    <x v="85"/>
    <x v="87"/>
    <x v="1"/>
    <x v="2"/>
    <x v="4"/>
    <x v="0"/>
    <x v="5"/>
    <x v="7"/>
    <x v="12"/>
    <x v="1"/>
  </r>
  <r>
    <s v="TX502321"/>
    <x v="18"/>
    <x v="0"/>
    <n v="51.4"/>
    <n v="51.4"/>
    <x v="85"/>
    <x v="90"/>
    <x v="2"/>
    <x v="1"/>
    <x v="1"/>
    <x v="0"/>
    <x v="5"/>
    <x v="1"/>
    <x v="12"/>
    <x v="2"/>
  </r>
  <r>
    <s v="TX502322"/>
    <x v="8"/>
    <x v="1"/>
    <n v="30.2"/>
    <n v="60.4"/>
    <x v="85"/>
    <x v="86"/>
    <x v="2"/>
    <x v="2"/>
    <x v="2"/>
    <x v="0"/>
    <x v="6"/>
    <x v="3"/>
    <x v="12"/>
    <x v="2"/>
  </r>
  <r>
    <s v="TX502323"/>
    <x v="2"/>
    <x v="13"/>
    <n v="97"/>
    <n v="582"/>
    <x v="85"/>
    <x v="88"/>
    <x v="2"/>
    <x v="0"/>
    <x v="2"/>
    <x v="0"/>
    <x v="7"/>
    <x v="5"/>
    <x v="12"/>
    <x v="2"/>
  </r>
  <r>
    <s v="TX502324"/>
    <x v="2"/>
    <x v="0"/>
    <n v="76.900000000000006"/>
    <n v="76.900000000000006"/>
    <x v="85"/>
    <x v="86"/>
    <x v="1"/>
    <x v="1"/>
    <x v="2"/>
    <x v="0"/>
    <x v="8"/>
    <x v="3"/>
    <x v="12"/>
    <x v="1"/>
  </r>
  <r>
    <s v="TX502325"/>
    <x v="7"/>
    <x v="13"/>
    <n v="36.1"/>
    <n v="216.60000000000002"/>
    <x v="85"/>
    <x v="88"/>
    <x v="2"/>
    <x v="0"/>
    <x v="0"/>
    <x v="0"/>
    <x v="8"/>
    <x v="5"/>
    <x v="12"/>
    <x v="2"/>
  </r>
  <r>
    <s v="TX502326"/>
    <x v="1"/>
    <x v="3"/>
    <n v="34.4"/>
    <n v="240.79999999999998"/>
    <x v="85"/>
    <x v="87"/>
    <x v="2"/>
    <x v="2"/>
    <x v="1"/>
    <x v="0"/>
    <x v="11"/>
    <x v="7"/>
    <x v="12"/>
    <x v="2"/>
  </r>
  <r>
    <s v="TX502327"/>
    <x v="1"/>
    <x v="31"/>
    <n v="53.4"/>
    <n v="1495.2"/>
    <x v="85"/>
    <x v="90"/>
    <x v="2"/>
    <x v="1"/>
    <x v="0"/>
    <x v="0"/>
    <x v="18"/>
    <x v="1"/>
    <x v="12"/>
    <x v="2"/>
  </r>
  <r>
    <s v="TX502328"/>
    <x v="2"/>
    <x v="0"/>
    <n v="77.599999999999994"/>
    <n v="77.599999999999994"/>
    <x v="85"/>
    <x v="86"/>
    <x v="2"/>
    <x v="0"/>
    <x v="1"/>
    <x v="0"/>
    <x v="19"/>
    <x v="3"/>
    <x v="12"/>
    <x v="2"/>
  </r>
  <r>
    <s v="TX502329"/>
    <x v="1"/>
    <x v="2"/>
    <n v="71.7"/>
    <n v="215.10000000000002"/>
    <x v="85"/>
    <x v="89"/>
    <x v="2"/>
    <x v="1"/>
    <x v="0"/>
    <x v="0"/>
    <x v="19"/>
    <x v="2"/>
    <x v="12"/>
    <x v="2"/>
  </r>
  <r>
    <s v="TX502330"/>
    <x v="3"/>
    <x v="2"/>
    <n v="80.599999999999994"/>
    <n v="241.79999999999998"/>
    <x v="85"/>
    <x v="86"/>
    <x v="1"/>
    <x v="4"/>
    <x v="1"/>
    <x v="0"/>
    <x v="19"/>
    <x v="3"/>
    <x v="12"/>
    <x v="1"/>
  </r>
  <r>
    <s v="TX502331"/>
    <x v="1"/>
    <x v="20"/>
    <n v="70"/>
    <n v="1050"/>
    <x v="85"/>
    <x v="90"/>
    <x v="1"/>
    <x v="0"/>
    <x v="0"/>
    <x v="0"/>
    <x v="20"/>
    <x v="1"/>
    <x v="12"/>
    <x v="1"/>
  </r>
  <r>
    <s v="TX502332"/>
    <x v="4"/>
    <x v="13"/>
    <n v="27.3"/>
    <n v="163.80000000000001"/>
    <x v="85"/>
    <x v="90"/>
    <x v="2"/>
    <x v="1"/>
    <x v="1"/>
    <x v="0"/>
    <x v="2"/>
    <x v="1"/>
    <x v="12"/>
    <x v="2"/>
  </r>
  <r>
    <s v="TX502333"/>
    <x v="8"/>
    <x v="21"/>
    <n v="37.6"/>
    <n v="526.4"/>
    <x v="85"/>
    <x v="90"/>
    <x v="1"/>
    <x v="1"/>
    <x v="0"/>
    <x v="0"/>
    <x v="3"/>
    <x v="1"/>
    <x v="12"/>
    <x v="1"/>
  </r>
  <r>
    <s v="TX502334"/>
    <x v="5"/>
    <x v="2"/>
    <n v="36.6"/>
    <n v="109.80000000000001"/>
    <x v="85"/>
    <x v="90"/>
    <x v="2"/>
    <x v="4"/>
    <x v="0"/>
    <x v="0"/>
    <x v="3"/>
    <x v="1"/>
    <x v="12"/>
    <x v="2"/>
  </r>
  <r>
    <s v="TX502335"/>
    <x v="13"/>
    <x v="0"/>
    <n v="55.2"/>
    <n v="55.2"/>
    <x v="85"/>
    <x v="90"/>
    <x v="1"/>
    <x v="3"/>
    <x v="0"/>
    <x v="0"/>
    <x v="3"/>
    <x v="1"/>
    <x v="12"/>
    <x v="1"/>
  </r>
  <r>
    <s v="TX502336"/>
    <x v="6"/>
    <x v="9"/>
    <n v="59.9"/>
    <n v="299.5"/>
    <x v="85"/>
    <x v="90"/>
    <x v="1"/>
    <x v="0"/>
    <x v="0"/>
    <x v="0"/>
    <x v="3"/>
    <x v="1"/>
    <x v="12"/>
    <x v="1"/>
  </r>
  <r>
    <s v="TX502337"/>
    <x v="6"/>
    <x v="0"/>
    <n v="44"/>
    <n v="44"/>
    <x v="85"/>
    <x v="86"/>
    <x v="2"/>
    <x v="2"/>
    <x v="2"/>
    <x v="0"/>
    <x v="3"/>
    <x v="3"/>
    <x v="12"/>
    <x v="2"/>
  </r>
  <r>
    <s v="TX502338"/>
    <x v="9"/>
    <x v="1"/>
    <n v="68.7"/>
    <n v="137.4"/>
    <x v="85"/>
    <x v="87"/>
    <x v="1"/>
    <x v="0"/>
    <x v="0"/>
    <x v="0"/>
    <x v="3"/>
    <x v="7"/>
    <x v="12"/>
    <x v="1"/>
  </r>
  <r>
    <s v="TX502339"/>
    <x v="5"/>
    <x v="1"/>
    <n v="61.6"/>
    <n v="123.2"/>
    <x v="85"/>
    <x v="88"/>
    <x v="1"/>
    <x v="3"/>
    <x v="1"/>
    <x v="0"/>
    <x v="3"/>
    <x v="5"/>
    <x v="12"/>
    <x v="1"/>
  </r>
  <r>
    <s v="TX502340"/>
    <x v="7"/>
    <x v="3"/>
    <n v="51.8"/>
    <n v="362.59999999999997"/>
    <x v="85"/>
    <x v="86"/>
    <x v="1"/>
    <x v="0"/>
    <x v="0"/>
    <x v="0"/>
    <x v="3"/>
    <x v="3"/>
    <x v="12"/>
    <x v="1"/>
  </r>
  <r>
    <s v="TX502341"/>
    <x v="8"/>
    <x v="7"/>
    <n v="46.2"/>
    <n v="462"/>
    <x v="85"/>
    <x v="90"/>
    <x v="1"/>
    <x v="1"/>
    <x v="2"/>
    <x v="0"/>
    <x v="3"/>
    <x v="1"/>
    <x v="12"/>
    <x v="1"/>
  </r>
  <r>
    <s v="TX502342"/>
    <x v="0"/>
    <x v="1"/>
    <n v="19.399999999999999"/>
    <n v="38.799999999999997"/>
    <x v="85"/>
    <x v="90"/>
    <x v="2"/>
    <x v="1"/>
    <x v="2"/>
    <x v="0"/>
    <x v="6"/>
    <x v="1"/>
    <x v="12"/>
    <x v="2"/>
  </r>
  <r>
    <s v="TX502343"/>
    <x v="11"/>
    <x v="2"/>
    <n v="52.1"/>
    <n v="156.30000000000001"/>
    <x v="85"/>
    <x v="89"/>
    <x v="1"/>
    <x v="3"/>
    <x v="3"/>
    <x v="0"/>
    <x v="6"/>
    <x v="2"/>
    <x v="12"/>
    <x v="1"/>
  </r>
  <r>
    <s v="TX502344"/>
    <x v="6"/>
    <x v="0"/>
    <n v="74.900000000000006"/>
    <n v="74.900000000000006"/>
    <x v="85"/>
    <x v="90"/>
    <x v="3"/>
    <x v="0"/>
    <x v="0"/>
    <x v="0"/>
    <x v="7"/>
    <x v="1"/>
    <x v="12"/>
    <x v="3"/>
  </r>
  <r>
    <s v="TX502345"/>
    <x v="9"/>
    <x v="3"/>
    <n v="49.6"/>
    <n v="347.2"/>
    <x v="85"/>
    <x v="89"/>
    <x v="2"/>
    <x v="4"/>
    <x v="0"/>
    <x v="0"/>
    <x v="8"/>
    <x v="2"/>
    <x v="12"/>
    <x v="2"/>
  </r>
  <r>
    <s v="TX502346"/>
    <x v="16"/>
    <x v="12"/>
    <n v="82.8"/>
    <n v="331.2"/>
    <x v="86"/>
    <x v="88"/>
    <x v="2"/>
    <x v="4"/>
    <x v="0"/>
    <x v="0"/>
    <x v="8"/>
    <x v="2"/>
    <x v="12"/>
    <x v="2"/>
  </r>
  <r>
    <s v="TX502347"/>
    <x v="2"/>
    <x v="0"/>
    <n v="97.7"/>
    <n v="97.7"/>
    <x v="86"/>
    <x v="90"/>
    <x v="2"/>
    <x v="1"/>
    <x v="0"/>
    <x v="0"/>
    <x v="8"/>
    <x v="3"/>
    <x v="12"/>
    <x v="2"/>
  </r>
  <r>
    <s v="TX502348"/>
    <x v="6"/>
    <x v="9"/>
    <n v="83.6"/>
    <n v="418"/>
    <x v="86"/>
    <x v="90"/>
    <x v="2"/>
    <x v="4"/>
    <x v="0"/>
    <x v="0"/>
    <x v="8"/>
    <x v="3"/>
    <x v="12"/>
    <x v="2"/>
  </r>
  <r>
    <s v="TX502349"/>
    <x v="8"/>
    <x v="9"/>
    <n v="23.5"/>
    <n v="117.5"/>
    <x v="86"/>
    <x v="84"/>
    <x v="3"/>
    <x v="0"/>
    <x v="0"/>
    <x v="0"/>
    <x v="8"/>
    <x v="5"/>
    <x v="12"/>
    <x v="3"/>
  </r>
  <r>
    <s v="TX502350"/>
    <x v="9"/>
    <x v="2"/>
    <n v="44.6"/>
    <n v="133.80000000000001"/>
    <x v="86"/>
    <x v="88"/>
    <x v="2"/>
    <x v="4"/>
    <x v="1"/>
    <x v="0"/>
    <x v="26"/>
    <x v="2"/>
    <x v="12"/>
    <x v="2"/>
  </r>
  <r>
    <s v="TX502351"/>
    <x v="0"/>
    <x v="2"/>
    <n v="20.100000000000001"/>
    <n v="60.300000000000004"/>
    <x v="86"/>
    <x v="89"/>
    <x v="2"/>
    <x v="3"/>
    <x v="4"/>
    <x v="0"/>
    <x v="11"/>
    <x v="1"/>
    <x v="12"/>
    <x v="2"/>
  </r>
  <r>
    <s v="TX502352"/>
    <x v="2"/>
    <x v="9"/>
    <n v="153.6"/>
    <n v="768"/>
    <x v="86"/>
    <x v="90"/>
    <x v="2"/>
    <x v="1"/>
    <x v="2"/>
    <x v="0"/>
    <x v="53"/>
    <x v="3"/>
    <x v="12"/>
    <x v="2"/>
  </r>
  <r>
    <s v="TX502353"/>
    <x v="1"/>
    <x v="1"/>
    <n v="71.8"/>
    <n v="143.6"/>
    <x v="86"/>
    <x v="84"/>
    <x v="2"/>
    <x v="1"/>
    <x v="0"/>
    <x v="0"/>
    <x v="1"/>
    <x v="5"/>
    <x v="12"/>
    <x v="2"/>
  </r>
  <r>
    <s v="TX502354"/>
    <x v="10"/>
    <x v="0"/>
    <n v="64.7"/>
    <n v="64.7"/>
    <x v="86"/>
    <x v="89"/>
    <x v="0"/>
    <x v="0"/>
    <x v="1"/>
    <x v="0"/>
    <x v="1"/>
    <x v="1"/>
    <x v="12"/>
    <x v="0"/>
  </r>
  <r>
    <s v="TX502355"/>
    <x v="9"/>
    <x v="8"/>
    <n v="60.4"/>
    <n v="483.2"/>
    <x v="86"/>
    <x v="89"/>
    <x v="2"/>
    <x v="3"/>
    <x v="2"/>
    <x v="0"/>
    <x v="2"/>
    <x v="1"/>
    <x v="12"/>
    <x v="2"/>
  </r>
  <r>
    <s v="TX502356"/>
    <x v="6"/>
    <x v="12"/>
    <n v="86"/>
    <n v="344"/>
    <x v="86"/>
    <x v="88"/>
    <x v="2"/>
    <x v="2"/>
    <x v="2"/>
    <x v="0"/>
    <x v="22"/>
    <x v="2"/>
    <x v="12"/>
    <x v="2"/>
  </r>
  <r>
    <s v="TX502357"/>
    <x v="12"/>
    <x v="1"/>
    <n v="42.1"/>
    <n v="84.2"/>
    <x v="86"/>
    <x v="90"/>
    <x v="2"/>
    <x v="4"/>
    <x v="1"/>
    <x v="0"/>
    <x v="34"/>
    <x v="3"/>
    <x v="12"/>
    <x v="2"/>
  </r>
  <r>
    <s v="TX502358"/>
    <x v="16"/>
    <x v="11"/>
    <n v="51.1"/>
    <n v="459.90000000000003"/>
    <x v="86"/>
    <x v="90"/>
    <x v="1"/>
    <x v="2"/>
    <x v="1"/>
    <x v="0"/>
    <x v="3"/>
    <x v="3"/>
    <x v="12"/>
    <x v="1"/>
  </r>
  <r>
    <s v="TX502359"/>
    <x v="9"/>
    <x v="12"/>
    <n v="73.8"/>
    <n v="295.2"/>
    <x v="86"/>
    <x v="90"/>
    <x v="1"/>
    <x v="4"/>
    <x v="0"/>
    <x v="0"/>
    <x v="3"/>
    <x v="3"/>
    <x v="12"/>
    <x v="1"/>
  </r>
  <r>
    <s v="TX502360"/>
    <x v="8"/>
    <x v="9"/>
    <n v="27"/>
    <n v="135"/>
    <x v="86"/>
    <x v="88"/>
    <x v="2"/>
    <x v="2"/>
    <x v="2"/>
    <x v="0"/>
    <x v="3"/>
    <x v="2"/>
    <x v="12"/>
    <x v="2"/>
  </r>
  <r>
    <s v="TX502361"/>
    <x v="8"/>
    <x v="13"/>
    <n v="60.1"/>
    <n v="360.6"/>
    <x v="86"/>
    <x v="90"/>
    <x v="1"/>
    <x v="3"/>
    <x v="0"/>
    <x v="0"/>
    <x v="3"/>
    <x v="3"/>
    <x v="12"/>
    <x v="1"/>
  </r>
  <r>
    <s v="TX502362"/>
    <x v="2"/>
    <x v="3"/>
    <n v="94.1"/>
    <n v="658.69999999999993"/>
    <x v="86"/>
    <x v="89"/>
    <x v="2"/>
    <x v="4"/>
    <x v="1"/>
    <x v="0"/>
    <x v="3"/>
    <x v="1"/>
    <x v="12"/>
    <x v="2"/>
  </r>
  <r>
    <s v="TX502363"/>
    <x v="2"/>
    <x v="1"/>
    <n v="124.1"/>
    <n v="248.2"/>
    <x v="86"/>
    <x v="86"/>
    <x v="2"/>
    <x v="2"/>
    <x v="3"/>
    <x v="0"/>
    <x v="43"/>
    <x v="7"/>
    <x v="12"/>
    <x v="2"/>
  </r>
  <r>
    <s v="TX502364"/>
    <x v="8"/>
    <x v="12"/>
    <n v="16.899999999999999"/>
    <n v="67.599999999999994"/>
    <x v="86"/>
    <x v="88"/>
    <x v="1"/>
    <x v="3"/>
    <x v="0"/>
    <x v="0"/>
    <x v="6"/>
    <x v="2"/>
    <x v="12"/>
    <x v="1"/>
  </r>
  <r>
    <s v="TX502365"/>
    <x v="1"/>
    <x v="0"/>
    <n v="36.9"/>
    <n v="36.9"/>
    <x v="86"/>
    <x v="90"/>
    <x v="1"/>
    <x v="0"/>
    <x v="0"/>
    <x v="0"/>
    <x v="6"/>
    <x v="3"/>
    <x v="12"/>
    <x v="1"/>
  </r>
  <r>
    <s v="TX502366"/>
    <x v="9"/>
    <x v="1"/>
    <n v="22.6"/>
    <n v="45.2"/>
    <x v="86"/>
    <x v="94"/>
    <x v="2"/>
    <x v="2"/>
    <x v="1"/>
    <x v="0"/>
    <x v="8"/>
    <x v="10"/>
    <x v="12"/>
    <x v="2"/>
  </r>
  <r>
    <s v="TX502367"/>
    <x v="7"/>
    <x v="12"/>
    <n v="35"/>
    <n v="140"/>
    <x v="86"/>
    <x v="92"/>
    <x v="1"/>
    <x v="3"/>
    <x v="1"/>
    <x v="0"/>
    <x v="8"/>
    <x v="0"/>
    <x v="12"/>
    <x v="1"/>
  </r>
  <r>
    <s v="TX502368"/>
    <x v="9"/>
    <x v="13"/>
    <n v="63.6"/>
    <n v="381.6"/>
    <x v="86"/>
    <x v="95"/>
    <x v="0"/>
    <x v="1"/>
    <x v="2"/>
    <x v="0"/>
    <x v="8"/>
    <x v="6"/>
    <x v="12"/>
    <x v="0"/>
  </r>
  <r>
    <s v="TX502369"/>
    <x v="15"/>
    <x v="12"/>
    <n v="78.599999999999994"/>
    <n v="314.39999999999998"/>
    <x v="86"/>
    <x v="90"/>
    <x v="1"/>
    <x v="4"/>
    <x v="1"/>
    <x v="0"/>
    <x v="8"/>
    <x v="3"/>
    <x v="12"/>
    <x v="1"/>
  </r>
  <r>
    <s v="TX502370"/>
    <x v="3"/>
    <x v="1"/>
    <n v="38.5"/>
    <n v="77"/>
    <x v="86"/>
    <x v="90"/>
    <x v="1"/>
    <x v="0"/>
    <x v="2"/>
    <x v="0"/>
    <x v="8"/>
    <x v="3"/>
    <x v="12"/>
    <x v="1"/>
  </r>
  <r>
    <s v="TX502371"/>
    <x v="8"/>
    <x v="5"/>
    <n v="71.5"/>
    <n v="786.5"/>
    <x v="86"/>
    <x v="90"/>
    <x v="2"/>
    <x v="1"/>
    <x v="4"/>
    <x v="0"/>
    <x v="8"/>
    <x v="3"/>
    <x v="12"/>
    <x v="2"/>
  </r>
  <r>
    <s v="TX502372"/>
    <x v="6"/>
    <x v="12"/>
    <n v="121.4"/>
    <n v="485.6"/>
    <x v="86"/>
    <x v="84"/>
    <x v="1"/>
    <x v="1"/>
    <x v="2"/>
    <x v="0"/>
    <x v="17"/>
    <x v="5"/>
    <x v="12"/>
    <x v="1"/>
  </r>
  <r>
    <s v="TX502373"/>
    <x v="11"/>
    <x v="0"/>
    <n v="40.200000000000003"/>
    <n v="40.200000000000003"/>
    <x v="86"/>
    <x v="88"/>
    <x v="2"/>
    <x v="0"/>
    <x v="2"/>
    <x v="0"/>
    <x v="11"/>
    <x v="2"/>
    <x v="12"/>
    <x v="2"/>
  </r>
  <r>
    <s v="TX502374"/>
    <x v="5"/>
    <x v="9"/>
    <n v="31.9"/>
    <n v="159.5"/>
    <x v="86"/>
    <x v="89"/>
    <x v="2"/>
    <x v="2"/>
    <x v="2"/>
    <x v="0"/>
    <x v="28"/>
    <x v="1"/>
    <x v="12"/>
    <x v="2"/>
  </r>
  <r>
    <s v="TX502375"/>
    <x v="14"/>
    <x v="9"/>
    <n v="15.8"/>
    <n v="79"/>
    <x v="87"/>
    <x v="89"/>
    <x v="1"/>
    <x v="3"/>
    <x v="2"/>
    <x v="0"/>
    <x v="21"/>
    <x v="3"/>
    <x v="12"/>
    <x v="1"/>
  </r>
  <r>
    <s v="TX502376"/>
    <x v="10"/>
    <x v="1"/>
    <n v="25.1"/>
    <n v="50.2"/>
    <x v="87"/>
    <x v="88"/>
    <x v="0"/>
    <x v="1"/>
    <x v="0"/>
    <x v="0"/>
    <x v="21"/>
    <x v="1"/>
    <x v="12"/>
    <x v="0"/>
  </r>
  <r>
    <s v="TX502377"/>
    <x v="1"/>
    <x v="44"/>
    <n v="38.1"/>
    <n v="876.30000000000007"/>
    <x v="87"/>
    <x v="89"/>
    <x v="2"/>
    <x v="4"/>
    <x v="0"/>
    <x v="0"/>
    <x v="1"/>
    <x v="3"/>
    <x v="12"/>
    <x v="2"/>
  </r>
  <r>
    <s v="TX502378"/>
    <x v="3"/>
    <x v="1"/>
    <n v="42.2"/>
    <n v="84.4"/>
    <x v="87"/>
    <x v="88"/>
    <x v="2"/>
    <x v="0"/>
    <x v="2"/>
    <x v="0"/>
    <x v="1"/>
    <x v="1"/>
    <x v="12"/>
    <x v="2"/>
  </r>
  <r>
    <s v="TX502379"/>
    <x v="0"/>
    <x v="7"/>
    <n v="12.3"/>
    <n v="123"/>
    <x v="87"/>
    <x v="89"/>
    <x v="2"/>
    <x v="4"/>
    <x v="0"/>
    <x v="0"/>
    <x v="2"/>
    <x v="3"/>
    <x v="12"/>
    <x v="2"/>
  </r>
  <r>
    <s v="TX502380"/>
    <x v="7"/>
    <x v="0"/>
    <n v="30.2"/>
    <n v="30.2"/>
    <x v="87"/>
    <x v="88"/>
    <x v="2"/>
    <x v="1"/>
    <x v="2"/>
    <x v="0"/>
    <x v="34"/>
    <x v="1"/>
    <x v="12"/>
    <x v="2"/>
  </r>
  <r>
    <s v="TX502381"/>
    <x v="5"/>
    <x v="2"/>
    <n v="25.3"/>
    <n v="75.900000000000006"/>
    <x v="87"/>
    <x v="84"/>
    <x v="2"/>
    <x v="2"/>
    <x v="0"/>
    <x v="0"/>
    <x v="3"/>
    <x v="2"/>
    <x v="12"/>
    <x v="2"/>
  </r>
  <r>
    <s v="TX502382"/>
    <x v="8"/>
    <x v="9"/>
    <n v="29.7"/>
    <n v="148.5"/>
    <x v="87"/>
    <x v="88"/>
    <x v="1"/>
    <x v="3"/>
    <x v="0"/>
    <x v="0"/>
    <x v="3"/>
    <x v="1"/>
    <x v="12"/>
    <x v="1"/>
  </r>
  <r>
    <s v="TX502383"/>
    <x v="9"/>
    <x v="8"/>
    <n v="32.9"/>
    <n v="263.2"/>
    <x v="87"/>
    <x v="89"/>
    <x v="0"/>
    <x v="3"/>
    <x v="2"/>
    <x v="0"/>
    <x v="3"/>
    <x v="3"/>
    <x v="12"/>
    <x v="0"/>
  </r>
  <r>
    <s v="TX502384"/>
    <x v="10"/>
    <x v="1"/>
    <n v="43.6"/>
    <n v="87.2"/>
    <x v="87"/>
    <x v="89"/>
    <x v="1"/>
    <x v="1"/>
    <x v="2"/>
    <x v="0"/>
    <x v="3"/>
    <x v="3"/>
    <x v="12"/>
    <x v="1"/>
  </r>
  <r>
    <s v="TX502385"/>
    <x v="15"/>
    <x v="12"/>
    <n v="78.400000000000006"/>
    <n v="313.60000000000002"/>
    <x v="87"/>
    <x v="89"/>
    <x v="1"/>
    <x v="2"/>
    <x v="0"/>
    <x v="0"/>
    <x v="3"/>
    <x v="3"/>
    <x v="12"/>
    <x v="1"/>
  </r>
  <r>
    <s v="TX502386"/>
    <x v="6"/>
    <x v="1"/>
    <n v="56.5"/>
    <n v="113"/>
    <x v="87"/>
    <x v="92"/>
    <x v="1"/>
    <x v="1"/>
    <x v="1"/>
    <x v="0"/>
    <x v="3"/>
    <x v="5"/>
    <x v="12"/>
    <x v="1"/>
  </r>
  <r>
    <s v="TX502387"/>
    <x v="16"/>
    <x v="0"/>
    <n v="36.700000000000003"/>
    <n v="36.700000000000003"/>
    <x v="87"/>
    <x v="89"/>
    <x v="2"/>
    <x v="0"/>
    <x v="2"/>
    <x v="0"/>
    <x v="3"/>
    <x v="3"/>
    <x v="12"/>
    <x v="2"/>
  </r>
  <r>
    <s v="TX502388"/>
    <x v="2"/>
    <x v="12"/>
    <n v="103.6"/>
    <n v="414.4"/>
    <x v="87"/>
    <x v="91"/>
    <x v="1"/>
    <x v="4"/>
    <x v="2"/>
    <x v="0"/>
    <x v="3"/>
    <x v="11"/>
    <x v="12"/>
    <x v="1"/>
  </r>
  <r>
    <s v="TX502389"/>
    <x v="8"/>
    <x v="13"/>
    <n v="16.2"/>
    <n v="97.199999999999989"/>
    <x v="87"/>
    <x v="92"/>
    <x v="1"/>
    <x v="1"/>
    <x v="2"/>
    <x v="0"/>
    <x v="6"/>
    <x v="5"/>
    <x v="12"/>
    <x v="1"/>
  </r>
  <r>
    <s v="TX502390"/>
    <x v="8"/>
    <x v="1"/>
    <n v="20.2"/>
    <n v="40.4"/>
    <x v="87"/>
    <x v="89"/>
    <x v="2"/>
    <x v="0"/>
    <x v="0"/>
    <x v="0"/>
    <x v="6"/>
    <x v="3"/>
    <x v="12"/>
    <x v="2"/>
  </r>
  <r>
    <s v="TX502391"/>
    <x v="11"/>
    <x v="1"/>
    <n v="26.9"/>
    <n v="53.8"/>
    <x v="87"/>
    <x v="88"/>
    <x v="2"/>
    <x v="2"/>
    <x v="0"/>
    <x v="0"/>
    <x v="6"/>
    <x v="1"/>
    <x v="12"/>
    <x v="2"/>
  </r>
  <r>
    <s v="TX502392"/>
    <x v="1"/>
    <x v="1"/>
    <n v="82.4"/>
    <n v="164.8"/>
    <x v="87"/>
    <x v="84"/>
    <x v="0"/>
    <x v="0"/>
    <x v="0"/>
    <x v="0"/>
    <x v="7"/>
    <x v="2"/>
    <x v="12"/>
    <x v="0"/>
  </r>
  <r>
    <s v="TX502393"/>
    <x v="2"/>
    <x v="1"/>
    <n v="117.8"/>
    <n v="235.6"/>
    <x v="87"/>
    <x v="88"/>
    <x v="1"/>
    <x v="1"/>
    <x v="2"/>
    <x v="0"/>
    <x v="8"/>
    <x v="1"/>
    <x v="12"/>
    <x v="1"/>
  </r>
  <r>
    <s v="TX502394"/>
    <x v="11"/>
    <x v="12"/>
    <n v="36.700000000000003"/>
    <n v="146.80000000000001"/>
    <x v="87"/>
    <x v="89"/>
    <x v="1"/>
    <x v="1"/>
    <x v="0"/>
    <x v="0"/>
    <x v="8"/>
    <x v="3"/>
    <x v="12"/>
    <x v="1"/>
  </r>
  <r>
    <s v="TX502395"/>
    <x v="17"/>
    <x v="2"/>
    <n v="46.8"/>
    <n v="140.39999999999998"/>
    <x v="87"/>
    <x v="89"/>
    <x v="1"/>
    <x v="4"/>
    <x v="2"/>
    <x v="0"/>
    <x v="10"/>
    <x v="3"/>
    <x v="12"/>
    <x v="1"/>
  </r>
  <r>
    <s v="TX502396"/>
    <x v="3"/>
    <x v="0"/>
    <n v="61.4"/>
    <n v="61.4"/>
    <x v="87"/>
    <x v="89"/>
    <x v="1"/>
    <x v="1"/>
    <x v="0"/>
    <x v="0"/>
    <x v="10"/>
    <x v="3"/>
    <x v="12"/>
    <x v="1"/>
  </r>
  <r>
    <s v="TX502397"/>
    <x v="15"/>
    <x v="1"/>
    <n v="22.9"/>
    <n v="45.8"/>
    <x v="87"/>
    <x v="89"/>
    <x v="1"/>
    <x v="0"/>
    <x v="0"/>
    <x v="0"/>
    <x v="11"/>
    <x v="3"/>
    <x v="12"/>
    <x v="1"/>
  </r>
  <r>
    <s v="TX502398"/>
    <x v="10"/>
    <x v="1"/>
    <n v="22.1"/>
    <n v="44.2"/>
    <x v="87"/>
    <x v="89"/>
    <x v="2"/>
    <x v="4"/>
    <x v="0"/>
    <x v="0"/>
    <x v="11"/>
    <x v="3"/>
    <x v="12"/>
    <x v="2"/>
  </r>
  <r>
    <s v="TX502399"/>
    <x v="12"/>
    <x v="1"/>
    <n v="31"/>
    <n v="62"/>
    <x v="87"/>
    <x v="88"/>
    <x v="2"/>
    <x v="2"/>
    <x v="0"/>
    <x v="0"/>
    <x v="18"/>
    <x v="1"/>
    <x v="12"/>
    <x v="2"/>
  </r>
  <r>
    <s v="TX502400"/>
    <x v="18"/>
    <x v="1"/>
    <n v="84.2"/>
    <n v="168.4"/>
    <x v="87"/>
    <x v="88"/>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AC07E0-D209-4E21-9EA7-9D183659AA5C}" name="pvt.li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7:C21" firstHeaderRow="0" firstDataRow="1" firstDataCol="1"/>
  <pivotFields count="20">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h="1"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13" baseItem="0" numFmtId="164"/>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346AE8-C5CE-453D-8240-132427B771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0">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numFmtId="1"/>
    <dataField name="Average of Rating C" fld="9" subtotal="average" baseField="0" baseItem="0" numFmtId="2"/>
    <dataField name="Average of Days to Deliver" fld="12" subtotal="average" baseField="0" baseItem="0" numFmtId="2"/>
  </dataFields>
  <formats count="6">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4"/>
          </reference>
        </references>
      </pivotArea>
    </format>
    <format dxfId="3">
      <pivotArea outline="0" collapsedLevelsAreSubtotals="1" fieldPosition="0">
        <references count="1">
          <reference field="4294967294" count="1" selected="0">
            <x v="2"/>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277E1C-CBBC-47ED-95A6-4EB6C998C4CC}" name="pvt.map"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A28:D72" firstHeaderRow="0" firstDataRow="1" firstDataCol="2"/>
  <pivotFields count="20">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h="1" x="3"/>
        <item h="1" x="4"/>
        <item h="1" x="2"/>
        <item h="1"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4">
        <item x="0"/>
        <item x="1"/>
        <item x="2"/>
        <item x="3"/>
        <item x="4"/>
        <item x="5"/>
        <item x="6"/>
        <item x="7"/>
        <item x="8"/>
        <item x="9"/>
        <item x="10"/>
        <item x="11"/>
        <item x="12"/>
        <item t="default"/>
      </items>
      <extLst>
        <ext xmlns:x14="http://schemas.microsoft.com/office/spreadsheetml/2009/9/main" uri="{2946ED86-A175-432a-8AC1-64E0C546D7DE}">
          <x14:pivotField fillDownLabels="1"/>
        </ext>
      </extLst>
    </pivotField>
    <pivotField compact="0" outline="0" showAll="0">
      <items count="5">
        <item x="2"/>
        <item h="1" x="1"/>
        <item h="1" x="3"/>
        <item h="1" x="0"/>
        <item t="default"/>
      </items>
      <extLst>
        <ext xmlns:x14="http://schemas.microsoft.com/office/spreadsheetml/2009/9/main" uri="{2946ED86-A175-432a-8AC1-64E0C546D7DE}">
          <x14:pivotField fillDownLabels="1"/>
        </ext>
      </extLst>
    </pivotField>
    <pivotField compact="0" outline="0" showAll="0">
      <items count="8">
        <item x="0"/>
        <item x="1"/>
        <item x="2"/>
        <item x="4"/>
        <item x="3"/>
        <item x="5"/>
        <item x="6"/>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44">
    <i>
      <x/>
      <x/>
    </i>
    <i r="1">
      <x v="2"/>
    </i>
    <i r="1">
      <x v="3"/>
    </i>
    <i r="1">
      <x v="4"/>
    </i>
    <i r="1">
      <x v="5"/>
    </i>
    <i r="1">
      <x v="6"/>
    </i>
    <i r="1">
      <x v="8"/>
    </i>
    <i r="1">
      <x v="9"/>
    </i>
    <i r="1">
      <x v="11"/>
    </i>
    <i r="1">
      <x v="12"/>
    </i>
    <i r="1">
      <x v="14"/>
    </i>
    <i r="1">
      <x v="15"/>
    </i>
    <i r="1">
      <x v="16"/>
    </i>
    <i r="1">
      <x v="18"/>
    </i>
    <i r="1">
      <x v="19"/>
    </i>
    <i r="1">
      <x v="21"/>
    </i>
    <i r="1">
      <x v="22"/>
    </i>
    <i r="1">
      <x v="23"/>
    </i>
    <i r="1">
      <x v="27"/>
    </i>
    <i r="1">
      <x v="28"/>
    </i>
    <i r="1">
      <x v="29"/>
    </i>
    <i r="1">
      <x v="30"/>
    </i>
    <i r="1">
      <x v="31"/>
    </i>
    <i r="1">
      <x v="32"/>
    </i>
    <i r="1">
      <x v="33"/>
    </i>
    <i r="1">
      <x v="34"/>
    </i>
    <i r="1">
      <x v="35"/>
    </i>
    <i r="1">
      <x v="36"/>
    </i>
    <i r="1">
      <x v="37"/>
    </i>
    <i r="1">
      <x v="38"/>
    </i>
    <i r="1">
      <x v="39"/>
    </i>
    <i r="1">
      <x v="40"/>
    </i>
    <i r="1">
      <x v="41"/>
    </i>
    <i r="1">
      <x v="42"/>
    </i>
    <i r="1">
      <x v="43"/>
    </i>
    <i r="1">
      <x v="46"/>
    </i>
    <i r="1">
      <x v="48"/>
    </i>
    <i r="1">
      <x v="49"/>
    </i>
    <i r="1">
      <x v="50"/>
    </i>
    <i r="1">
      <x v="53"/>
    </i>
    <i r="1">
      <x v="54"/>
    </i>
    <i r="1">
      <x v="55"/>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331886-145B-4F28-8844-4B987631A9F8}" name="pvt.most.order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fieldListSortAscending="1">
  <location ref="F27:H49" firstHeaderRow="1" firstDataRow="2" firstDataCol="1"/>
  <pivotFields count="20">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showAll="0">
      <items count="6">
        <item x="0"/>
        <item h="1" x="3"/>
        <item h="1" x="4"/>
        <item h="1" x="2"/>
        <item h="1"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axis="axisCol" showAll="0">
      <items count="5">
        <item x="2"/>
        <item h="1" x="1"/>
        <item h="1" x="3"/>
        <item h="1"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3"/>
    </i>
    <i>
      <x v="18"/>
    </i>
    <i>
      <x v="16"/>
    </i>
    <i>
      <x v="14"/>
    </i>
    <i>
      <x v="12"/>
    </i>
    <i>
      <x v="4"/>
    </i>
    <i>
      <x v="1"/>
    </i>
    <i>
      <x v="11"/>
    </i>
    <i>
      <x v="5"/>
    </i>
    <i>
      <x v="2"/>
    </i>
    <i>
      <x v="8"/>
    </i>
    <i>
      <x v="3"/>
    </i>
    <i>
      <x v="19"/>
    </i>
    <i>
      <x v="9"/>
    </i>
    <i>
      <x v="15"/>
    </i>
    <i>
      <x v="17"/>
    </i>
    <i>
      <x v="10"/>
    </i>
    <i>
      <x/>
    </i>
    <i>
      <x v="7"/>
    </i>
    <i t="grand">
      <x/>
    </i>
  </rowItems>
  <colFields count="1">
    <field x="14"/>
  </colFields>
  <colItems count="2">
    <i>
      <x/>
    </i>
    <i t="grand">
      <x/>
    </i>
  </colItems>
  <dataFields count="1">
    <dataField name="Sum of Quantity" fld="2" baseField="0" baseItem="0"/>
  </dataFields>
  <chartFormats count="5">
    <chartFormat chart="33" format="2" series="1">
      <pivotArea type="data" outline="0" fieldPosition="0">
        <references count="1">
          <reference field="4294967294" count="1" selected="0">
            <x v="0"/>
          </reference>
        </references>
      </pivotArea>
    </chartFormat>
    <chartFormat chart="33" format="7" series="1">
      <pivotArea type="data" outline="0" fieldPosition="0">
        <references count="2">
          <reference field="4294967294" count="1" selected="0">
            <x v="0"/>
          </reference>
          <reference field="14" count="1" selected="0">
            <x v="1"/>
          </reference>
        </references>
      </pivotArea>
    </chartFormat>
    <chartFormat chart="33" format="8" series="1">
      <pivotArea type="data" outline="0" fieldPosition="0">
        <references count="2">
          <reference field="4294967294" count="1" selected="0">
            <x v="0"/>
          </reference>
          <reference field="14" count="1" selected="0">
            <x v="2"/>
          </reference>
        </references>
      </pivotArea>
    </chartFormat>
    <chartFormat chart="33" format="9" series="1">
      <pivotArea type="data" outline="0" fieldPosition="0">
        <references count="2">
          <reference field="4294967294" count="1" selected="0">
            <x v="0"/>
          </reference>
          <reference field="14" count="1" selected="0">
            <x v="3"/>
          </reference>
        </references>
      </pivotArea>
    </chartFormat>
    <chartFormat chart="33" format="10"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DBB267-13AB-4B70-99DE-A7E67F9FB30B}" name="pvt.days.to.deliv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58:H63" firstHeaderRow="1" firstDataRow="2" firstDataCol="1"/>
  <pivotFields count="20">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h="1" x="3"/>
        <item h="1" x="4"/>
        <item h="1" x="2"/>
        <item h="1" x="1"/>
        <item t="default"/>
      </items>
    </pivotField>
    <pivotField axis="axisCol" dataField="1"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8">
        <item x="0"/>
        <item x="1"/>
        <item x="2"/>
        <item x="4"/>
        <item x="3"/>
        <item n="6 TO 10" x="5"/>
        <item n="MORE THAN 10"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9"/>
    <field x="18"/>
    <field x="5"/>
  </rowFields>
  <rowItems count="4">
    <i>
      <x v="1"/>
    </i>
    <i>
      <x v="2"/>
    </i>
    <i>
      <x v="3"/>
    </i>
    <i t="grand">
      <x/>
    </i>
  </rowItems>
  <colFields count="1">
    <field x="9"/>
  </colFields>
  <colItems count="6">
    <i>
      <x/>
    </i>
    <i>
      <x v="1"/>
    </i>
    <i>
      <x v="2"/>
    </i>
    <i>
      <x v="3"/>
    </i>
    <i>
      <x v="4"/>
    </i>
    <i t="grand">
      <x/>
    </i>
  </colItems>
  <dataFields count="1">
    <dataField name="Sum of Rating C" fld="9" baseField="0" baseItem="0"/>
  </dataFields>
  <chartFormats count="5">
    <chartFormat chart="33" format="10" series="1">
      <pivotArea type="data" outline="0" fieldPosition="0">
        <references count="2">
          <reference field="4294967294" count="1" selected="0">
            <x v="0"/>
          </reference>
          <reference field="9" count="1" selected="0">
            <x v="0"/>
          </reference>
        </references>
      </pivotArea>
    </chartFormat>
    <chartFormat chart="33" format="11" series="1">
      <pivotArea type="data" outline="0" fieldPosition="0">
        <references count="2">
          <reference field="4294967294" count="1" selected="0">
            <x v="0"/>
          </reference>
          <reference field="9" count="1" selected="0">
            <x v="1"/>
          </reference>
        </references>
      </pivotArea>
    </chartFormat>
    <chartFormat chart="33" format="12" series="1">
      <pivotArea type="data" outline="0" fieldPosition="0">
        <references count="2">
          <reference field="4294967294" count="1" selected="0">
            <x v="0"/>
          </reference>
          <reference field="9" count="1" selected="0">
            <x v="2"/>
          </reference>
        </references>
      </pivotArea>
    </chartFormat>
    <chartFormat chart="33" format="13" series="1">
      <pivotArea type="data" outline="0" fieldPosition="0">
        <references count="2">
          <reference field="4294967294" count="1" selected="0">
            <x v="0"/>
          </reference>
          <reference field="9" count="1" selected="0">
            <x v="3"/>
          </reference>
        </references>
      </pivotArea>
    </chartFormat>
    <chartFormat chart="33"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945237-8861-4D64-8117-33F032A02BB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35:C51" firstHeaderRow="1" firstDataRow="1" firstDataCol="1"/>
  <pivotFields count="20">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63C8E7-29AD-4928-959E-660EB5FF4464}" name="pvt.qty.purch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16:C24" firstHeaderRow="1" firstDataRow="1" firstDataCol="1"/>
  <pivotFields count="20">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h="1" x="1"/>
        <item h="1" x="3"/>
        <item h="1"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5">
    <chartFormat chart="17"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A38CF9-C3FB-4D51-BE30-BA058C804D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4:G11" firstHeaderRow="1" firstDataRow="2" firstDataCol="1"/>
  <pivotFields count="20">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axis="axisRow" showAll="0">
      <items count="6">
        <item x="0"/>
        <item x="3"/>
        <item x="4"/>
        <item x="2"/>
        <item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3DDEF0-9383-4814-BCAE-D987B524D1DF}" name="pvt.most.ordered.genderb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fieldListSortAscending="1">
  <location ref="F16:G18" firstHeaderRow="1" firstDataRow="1" firstDataCol="1"/>
  <pivotFields count="20">
    <pivotField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showAll="0">
      <items count="6">
        <item x="0"/>
        <item h="1" x="3"/>
        <item h="1" x="4"/>
        <item h="1" x="2"/>
        <item h="1"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axis="axisRow" showAll="0">
      <items count="5">
        <item x="2"/>
        <item h="1" x="1"/>
        <item h="1" x="3"/>
        <item h="1"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i>
    <i t="grand">
      <x/>
    </i>
  </rowItems>
  <colItems count="1">
    <i/>
  </colItems>
  <dataFields count="1">
    <dataField name="Sum of Amount" fld="4" baseField="0" baseItem="0"/>
  </dataFields>
  <chartFormats count="5">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14" count="1" selected="0">
            <x v="0"/>
          </reference>
        </references>
      </pivotArea>
    </chartFormat>
    <chartFormat chart="39" format="8">
      <pivotArea type="data" outline="0" fieldPosition="0">
        <references count="2">
          <reference field="4294967294" count="1" selected="0">
            <x v="0"/>
          </reference>
          <reference field="14" count="1" selected="0">
            <x v="1"/>
          </reference>
        </references>
      </pivotArea>
    </chartFormat>
    <chartFormat chart="39" format="9">
      <pivotArea type="data" outline="0" fieldPosition="0">
        <references count="2">
          <reference field="4294967294" count="1" selected="0">
            <x v="0"/>
          </reference>
          <reference field="14" count="1" selected="0">
            <x v="2"/>
          </reference>
        </references>
      </pivotArea>
    </chartFormat>
    <chartFormat chart="39"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EEB356DF-35F2-4514-8A12-924C35080797}" sourceName="Order Mode">
  <pivotTables>
    <pivotTable tabId="2" name="pvt.days.to.deliver"/>
    <pivotTable tabId="2" name="pvt.most.ordered"/>
    <pivotTable tabId="2" name="pvt.most.ordered.genderbased"/>
    <pivotTable tabId="2" name="pvt.qty.purchased"/>
    <pivotTable tabId="4" name="pvt.line"/>
    <pivotTable tabId="4" name="pvt.map"/>
  </pivotTables>
  <data>
    <tabular pivotCacheId="308761826">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E8A950E-8A19-4F3C-9597-0A4AE08D189F}" sourceName="Gender Value">
  <pivotTables>
    <pivotTable tabId="2" name="pvt.days.to.deliver"/>
    <pivotTable tabId="2" name="pvt.most.ordered"/>
    <pivotTable tabId="2" name="pvt.most.ordered.genderbased"/>
    <pivotTable tabId="2" name="pvt.qty.purchased"/>
    <pivotTable tabId="4" name="pvt.line"/>
    <pivotTable tabId="4" name="pvt.map"/>
  </pivotTables>
  <data>
    <tabular pivotCacheId="308761826">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1E0F8767-23B7-4EC2-A658-01DC7CD858CC}" cache="Slicer_Order_Mode" caption="Order Mode" style="SlicerStyleLight5" rowHeight="548640"/>
  <slicer name="Gender Value" xr10:uid="{E28398C3-9236-466E-8188-51F46CEF9851}" cache="Slicer_Gender_Value" caption="Gender Value" style="SlicerStyleLight5" rowHeight="7315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70DF84-8C7B-4AEA-91AC-14C77D88ED6D}" name="orders" displayName="orders" ref="A1:O2401" totalsRowShown="0">
  <tableColumns count="15">
    <tableColumn id="1" xr3:uid="{C7D0106F-52A4-458F-9C07-B3CB9F4A23DC}" name="TX ID"/>
    <tableColumn id="2" xr3:uid="{7665FE53-142B-4E59-AAAC-FF8761F14D3C}" name="Product"/>
    <tableColumn id="3" xr3:uid="{A7D45102-0473-43A9-AF38-B67E8ABBD0F1}" name="Quantity"/>
    <tableColumn id="4" xr3:uid="{9F0B3776-D9FC-48DD-929D-6DDB366FC770}" name="Unit Price"/>
    <tableColumn id="5" xr3:uid="{1DE4B3ED-D050-4082-96A4-B98F3BEC45C0}" name="Amount"/>
    <tableColumn id="6" xr3:uid="{676989E0-C518-4291-B54A-96E94F0294CE}" name="Order Date" dataDxfId="10"/>
    <tableColumn id="7" xr3:uid="{D7FDC0C7-819C-4269-831F-7D280893E467}" name="Ship Date" dataDxfId="9"/>
    <tableColumn id="8" xr3:uid="{9A37F429-EBF4-44B8-BA36-20285981E0E0}" name="Customer Gender"/>
    <tableColumn id="9" xr3:uid="{220BC98B-440A-4C2F-8A90-7414DADCC6FD}" name="Order Mode"/>
    <tableColumn id="10" xr3:uid="{93116ADA-F9C8-4136-8AC7-FB8ED1D6BFA4}" name="Rating C"/>
    <tableColumn id="15" xr3:uid="{1133E176-0982-40A7-8946-CE64D840E1D3}" name="State"/>
    <tableColumn id="14" xr3:uid="{C41D7C4E-CA8B-4750-8DF2-C8ECEDDF6D73}" name="County"/>
    <tableColumn id="11" xr3:uid="{F5D051C4-75A8-410C-9905-4373C92AB448}" name="Days to Deliver" dataDxfId="8">
      <calculatedColumnFormula>orders[[#This Row],[Ship Date]]-orders[[#This Row],[Order Date]]</calculatedColumnFormula>
    </tableColumn>
    <tableColumn id="12" xr3:uid="{D19407B0-F96C-40DF-B398-28EA8B0F4379}" name="Weeknum" dataDxfId="7">
      <calculatedColumnFormula>WEEKNUM(orders[[#This Row],[Order Date]])</calculatedColumnFormula>
    </tableColumn>
    <tableColumn id="13" xr3:uid="{1A17C224-DF24-48DB-8CD7-0D9E8135B9F9}" name="Gender Value" dataDxfId="6">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0959-5FC7-4C5F-A503-17FD0FC2CB96}">
  <sheetPr>
    <tabColor theme="8" tint="0.79998168889431442"/>
  </sheetPr>
  <dimension ref="CC2:CC18"/>
  <sheetViews>
    <sheetView zoomScale="18" zoomScaleNormal="44" workbookViewId="0">
      <selection activeCell="CC47" sqref="CC47"/>
    </sheetView>
  </sheetViews>
  <sheetFormatPr defaultRowHeight="14.5" x14ac:dyDescent="0.35"/>
  <cols>
    <col min="1" max="1" width="3.7265625" customWidth="1"/>
    <col min="2" max="2" width="21.36328125" customWidth="1"/>
    <col min="3" max="3" width="4" customWidth="1"/>
    <col min="49" max="49" width="8.7265625" customWidth="1"/>
    <col min="81" max="81" width="59.1796875" bestFit="1" customWidth="1"/>
    <col min="85" max="85" width="35.7265625" bestFit="1" customWidth="1"/>
  </cols>
  <sheetData>
    <row r="2" spans="81:81" ht="22" x14ac:dyDescent="0.4">
      <c r="CC2" s="24" t="s">
        <v>2522</v>
      </c>
    </row>
    <row r="3" spans="81:81" ht="22" x14ac:dyDescent="0.4">
      <c r="CC3" s="25" t="s">
        <v>2523</v>
      </c>
    </row>
    <row r="4" spans="81:81" ht="22" x14ac:dyDescent="0.4">
      <c r="CC4" s="25" t="s">
        <v>2524</v>
      </c>
    </row>
    <row r="5" spans="81:81" ht="22" x14ac:dyDescent="0.4">
      <c r="CC5" s="25" t="s">
        <v>2525</v>
      </c>
    </row>
    <row r="6" spans="81:81" ht="22" x14ac:dyDescent="0.4">
      <c r="CC6" s="25" t="s">
        <v>2526</v>
      </c>
    </row>
    <row r="7" spans="81:81" ht="22" x14ac:dyDescent="0.4">
      <c r="CC7" s="25" t="s">
        <v>2527</v>
      </c>
    </row>
    <row r="10" spans="81:81" ht="22.5" x14ac:dyDescent="0.45">
      <c r="CC10" s="26" t="s">
        <v>2528</v>
      </c>
    </row>
    <row r="11" spans="81:81" ht="23" x14ac:dyDescent="0.5">
      <c r="CC11" s="27" t="s">
        <v>2529</v>
      </c>
    </row>
    <row r="12" spans="81:81" ht="23" x14ac:dyDescent="0.5">
      <c r="CC12" s="27" t="s">
        <v>2530</v>
      </c>
    </row>
    <row r="13" spans="81:81" ht="23" x14ac:dyDescent="0.5">
      <c r="CC13" s="27" t="s">
        <v>2531</v>
      </c>
    </row>
    <row r="14" spans="81:81" ht="23" x14ac:dyDescent="0.5">
      <c r="CC14" s="27" t="s">
        <v>2532</v>
      </c>
    </row>
    <row r="15" spans="81:81" ht="23" x14ac:dyDescent="0.5">
      <c r="CC15" s="27" t="s">
        <v>2533</v>
      </c>
    </row>
    <row r="16" spans="81:81" ht="23" x14ac:dyDescent="0.5">
      <c r="CC16" s="27" t="s">
        <v>2534</v>
      </c>
    </row>
    <row r="17" spans="81:81" ht="23" x14ac:dyDescent="0.5">
      <c r="CC17" s="27" t="s">
        <v>2536</v>
      </c>
    </row>
    <row r="18" spans="81:81" ht="23" x14ac:dyDescent="0.5">
      <c r="CC18" s="27" t="s">
        <v>2535</v>
      </c>
    </row>
  </sheetData>
  <pageMargins left="0.7" right="0.7" top="0.75" bottom="0.75" header="0.3" footer="0.3"/>
  <pageSetup orientation="landscape"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68A8F-E9B8-43F5-AA3F-C769CBDC9002}">
  <sheetPr>
    <tabColor theme="5" tint="-0.499984740745262"/>
  </sheetPr>
  <dimension ref="A1:O2401"/>
  <sheetViews>
    <sheetView topLeftCell="B1" zoomScale="38" zoomScaleNormal="47" workbookViewId="0"/>
  </sheetViews>
  <sheetFormatPr defaultRowHeight="14.5" x14ac:dyDescent="0.35"/>
  <cols>
    <col min="1" max="1" width="8.81640625" customWidth="1"/>
    <col min="2" max="2" width="19.26953125" bestFit="1" customWidth="1"/>
    <col min="3" max="3" width="8" bestFit="1" customWidth="1"/>
    <col min="4" max="4" width="9" bestFit="1" customWidth="1"/>
    <col min="5" max="5" width="7.54296875" bestFit="1" customWidth="1"/>
    <col min="6" max="6" width="10" bestFit="1" customWidth="1"/>
    <col min="7" max="7" width="9.54296875" bestFit="1" customWidth="1"/>
    <col min="8" max="8" width="15.81640625" bestFit="1" customWidth="1"/>
    <col min="9" max="9" width="10.54296875" bestFit="1" customWidth="1"/>
    <col min="10" max="10" width="8" bestFit="1" customWidth="1"/>
    <col min="11" max="11" width="9" bestFit="1" customWidth="1"/>
    <col min="12" max="12" width="19.90625" bestFit="1" customWidth="1"/>
    <col min="13" max="13" width="13.453125" bestFit="1" customWidth="1"/>
    <col min="14" max="14" width="9.36328125" bestFit="1" customWidth="1"/>
    <col min="15" max="15" width="12" bestFit="1" customWidth="1"/>
  </cols>
  <sheetData>
    <row r="1" spans="1:15" x14ac:dyDescent="0.35">
      <c r="A1" t="s">
        <v>0</v>
      </c>
      <c r="B1" t="s">
        <v>1</v>
      </c>
      <c r="C1" t="s">
        <v>2</v>
      </c>
      <c r="D1" t="s">
        <v>3</v>
      </c>
      <c r="E1" t="s">
        <v>4</v>
      </c>
      <c r="F1" t="s">
        <v>5</v>
      </c>
      <c r="G1" t="s">
        <v>6</v>
      </c>
      <c r="H1" t="s">
        <v>7</v>
      </c>
      <c r="I1" t="s">
        <v>8</v>
      </c>
      <c r="J1" t="s">
        <v>9</v>
      </c>
      <c r="K1" t="s">
        <v>10</v>
      </c>
      <c r="L1" t="s">
        <v>11</v>
      </c>
      <c r="M1" s="1" t="s">
        <v>12</v>
      </c>
      <c r="N1" s="1" t="s">
        <v>13</v>
      </c>
      <c r="O1" s="1" t="s">
        <v>14</v>
      </c>
    </row>
    <row r="2" spans="1:15" x14ac:dyDescent="0.35">
      <c r="A2" t="s">
        <v>15</v>
      </c>
      <c r="B2" t="s">
        <v>16</v>
      </c>
      <c r="C2">
        <v>1</v>
      </c>
      <c r="D2">
        <v>10.9</v>
      </c>
      <c r="E2">
        <v>10.9</v>
      </c>
      <c r="F2" s="2">
        <v>45658</v>
      </c>
      <c r="G2" s="2">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2">
        <v>45658</v>
      </c>
      <c r="G3" s="2">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2">
        <v>45658</v>
      </c>
      <c r="G4" s="2">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2">
        <v>45658</v>
      </c>
      <c r="G5" s="2">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2">
        <v>45658</v>
      </c>
      <c r="G6" s="2">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2">
        <v>45658</v>
      </c>
      <c r="G7" s="2">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2">
        <v>45658</v>
      </c>
      <c r="G8" s="2">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2">
        <v>45658</v>
      </c>
      <c r="G9" s="2">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2">
        <v>45658</v>
      </c>
      <c r="G10" s="2">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2">
        <v>45658</v>
      </c>
      <c r="G11" s="2">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2">
        <v>45658</v>
      </c>
      <c r="G12" s="2">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2">
        <v>45658</v>
      </c>
      <c r="G13" s="2">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2">
        <v>45658</v>
      </c>
      <c r="G14" s="2">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2">
        <v>45658</v>
      </c>
      <c r="G15" s="2">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2">
        <v>45658</v>
      </c>
      <c r="G16" s="2">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2">
        <v>45658</v>
      </c>
      <c r="G17" s="2">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2">
        <v>45658</v>
      </c>
      <c r="G18" s="2">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2">
        <v>45658</v>
      </c>
      <c r="G19" s="2">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2">
        <v>45658</v>
      </c>
      <c r="G20" s="2">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2">
        <v>45658</v>
      </c>
      <c r="G21" s="2">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2">
        <v>45658</v>
      </c>
      <c r="G22" s="2">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2">
        <v>45658</v>
      </c>
      <c r="G23" s="2">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2">
        <v>45658</v>
      </c>
      <c r="G24" s="2">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2">
        <v>45658</v>
      </c>
      <c r="G25" s="2">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2">
        <v>45658</v>
      </c>
      <c r="G26" s="2">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2">
        <v>45658</v>
      </c>
      <c r="G27" s="2">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2">
        <v>45658</v>
      </c>
      <c r="G28" s="2">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2">
        <v>45658</v>
      </c>
      <c r="G29" s="2">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2">
        <v>45658</v>
      </c>
      <c r="G30" s="2">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2">
        <v>45658</v>
      </c>
      <c r="G31" s="2">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2">
        <v>45658</v>
      </c>
      <c r="G32" s="2">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2">
        <v>45658</v>
      </c>
      <c r="G33" s="2">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2">
        <v>45658</v>
      </c>
      <c r="G34" s="2">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2">
        <v>45658</v>
      </c>
      <c r="G35" s="2">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2">
        <v>45658</v>
      </c>
      <c r="G36" s="2">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2">
        <v>45658</v>
      </c>
      <c r="G37" s="2">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2">
        <v>45658</v>
      </c>
      <c r="G38" s="2">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2">
        <v>45658</v>
      </c>
      <c r="G39" s="2">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2">
        <v>45659</v>
      </c>
      <c r="G40" s="2">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2">
        <v>45659</v>
      </c>
      <c r="G41" s="2">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2">
        <v>45659</v>
      </c>
      <c r="G42" s="2">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2">
        <v>45659</v>
      </c>
      <c r="G43" s="2">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2">
        <v>45659</v>
      </c>
      <c r="G44" s="2">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2">
        <v>45659</v>
      </c>
      <c r="G45" s="2">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2">
        <v>45659</v>
      </c>
      <c r="G46" s="2">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2">
        <v>45659</v>
      </c>
      <c r="G47" s="2">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2">
        <v>45659</v>
      </c>
      <c r="G48" s="2">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2">
        <v>45659</v>
      </c>
      <c r="G49" s="2">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2">
        <v>45659</v>
      </c>
      <c r="G50" s="2">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2">
        <v>45659</v>
      </c>
      <c r="G51" s="2">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2">
        <v>45659</v>
      </c>
      <c r="G52" s="2">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2">
        <v>45659</v>
      </c>
      <c r="G53" s="2">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2">
        <v>45659</v>
      </c>
      <c r="G54" s="2">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2">
        <v>45659</v>
      </c>
      <c r="G55" s="2">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2">
        <v>45659</v>
      </c>
      <c r="G56" s="2">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2">
        <v>45659</v>
      </c>
      <c r="G57" s="2">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2">
        <v>45659</v>
      </c>
      <c r="G58" s="2">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2">
        <v>45660</v>
      </c>
      <c r="G59" s="2">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2">
        <v>45660</v>
      </c>
      <c r="G60" s="2">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2">
        <v>45660</v>
      </c>
      <c r="G61" s="2">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2">
        <v>45660</v>
      </c>
      <c r="G62" s="2">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2">
        <v>45660</v>
      </c>
      <c r="G63" s="2">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2">
        <v>45660</v>
      </c>
      <c r="G64" s="2">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2">
        <v>45660</v>
      </c>
      <c r="G65" s="2">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2">
        <v>45660</v>
      </c>
      <c r="G66" s="2">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2">
        <v>45660</v>
      </c>
      <c r="G67" s="2">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2">
        <v>45660</v>
      </c>
      <c r="G68" s="2">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2">
        <v>45660</v>
      </c>
      <c r="G69" s="2">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2">
        <v>45660</v>
      </c>
      <c r="G70" s="2">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2">
        <v>45660</v>
      </c>
      <c r="G71" s="2">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2">
        <v>45660</v>
      </c>
      <c r="G72" s="2">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2">
        <v>45660</v>
      </c>
      <c r="G73" s="2">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2">
        <v>45660</v>
      </c>
      <c r="G74" s="2">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2">
        <v>45660</v>
      </c>
      <c r="G75" s="2">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2">
        <v>45660</v>
      </c>
      <c r="G76" s="2">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2">
        <v>45660</v>
      </c>
      <c r="G77" s="2">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2">
        <v>45660</v>
      </c>
      <c r="G78" s="2">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2">
        <v>45660</v>
      </c>
      <c r="G79" s="2">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2">
        <v>45660</v>
      </c>
      <c r="G80" s="2">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2">
        <v>45660</v>
      </c>
      <c r="G81" s="2">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2">
        <v>45660</v>
      </c>
      <c r="G82" s="2">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2">
        <v>45660</v>
      </c>
      <c r="G83" s="2">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2">
        <v>45660</v>
      </c>
      <c r="G84" s="2">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2">
        <v>45661</v>
      </c>
      <c r="G85" s="2">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2">
        <v>45661</v>
      </c>
      <c r="G86" s="2">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2">
        <v>45661</v>
      </c>
      <c r="G87" s="2">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2">
        <v>45661</v>
      </c>
      <c r="G88" s="2">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2">
        <v>45661</v>
      </c>
      <c r="G89" s="2">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2">
        <v>45661</v>
      </c>
      <c r="G90" s="2">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2">
        <v>45661</v>
      </c>
      <c r="G91" s="2">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2">
        <v>45661</v>
      </c>
      <c r="G92" s="2">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2">
        <v>45661</v>
      </c>
      <c r="G93" s="2">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2">
        <v>45661</v>
      </c>
      <c r="G94" s="2">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2">
        <v>45661</v>
      </c>
      <c r="G95" s="2">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2">
        <v>45661</v>
      </c>
      <c r="G96" s="2">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2">
        <v>45661</v>
      </c>
      <c r="G97" s="2">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2">
        <v>45661</v>
      </c>
      <c r="G98" s="2">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2">
        <v>45661</v>
      </c>
      <c r="G99" s="2">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2">
        <v>45661</v>
      </c>
      <c r="G100" s="2">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2">
        <v>45661</v>
      </c>
      <c r="G101" s="2">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2">
        <v>45661</v>
      </c>
      <c r="G102" s="2">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2">
        <v>45662</v>
      </c>
      <c r="G103" s="2">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2">
        <v>45662</v>
      </c>
      <c r="G104" s="2">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2">
        <v>45662</v>
      </c>
      <c r="G105" s="2">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2">
        <v>45662</v>
      </c>
      <c r="G106" s="2">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2">
        <v>45662</v>
      </c>
      <c r="G107" s="2">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2">
        <v>45662</v>
      </c>
      <c r="G108" s="2">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2">
        <v>45662</v>
      </c>
      <c r="G109" s="2">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2">
        <v>45662</v>
      </c>
      <c r="G110" s="2">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2">
        <v>45662</v>
      </c>
      <c r="G111" s="2">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2">
        <v>45662</v>
      </c>
      <c r="G112" s="2">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2">
        <v>45662</v>
      </c>
      <c r="G113" s="2">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2">
        <v>45662</v>
      </c>
      <c r="G114" s="2">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2">
        <v>45662</v>
      </c>
      <c r="G115" s="2">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2">
        <v>45662</v>
      </c>
      <c r="G116" s="2">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2">
        <v>45662</v>
      </c>
      <c r="G117" s="2">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2">
        <v>45662</v>
      </c>
      <c r="G118" s="2">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2">
        <v>45662</v>
      </c>
      <c r="G119" s="2">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2">
        <v>45662</v>
      </c>
      <c r="G120" s="2">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2">
        <v>45662</v>
      </c>
      <c r="G121" s="2">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2">
        <v>45662</v>
      </c>
      <c r="G122" s="2">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2">
        <v>45662</v>
      </c>
      <c r="G123" s="2">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2">
        <v>45662</v>
      </c>
      <c r="G124" s="2">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2">
        <v>45662</v>
      </c>
      <c r="G125" s="2">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2">
        <v>45662</v>
      </c>
      <c r="G126" s="2">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2">
        <v>45662</v>
      </c>
      <c r="G127" s="2">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2">
        <v>45662</v>
      </c>
      <c r="G128" s="2">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2">
        <v>45663</v>
      </c>
      <c r="G129" s="2">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2">
        <v>45663</v>
      </c>
      <c r="G130" s="2">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2">
        <v>45663</v>
      </c>
      <c r="G131" s="2">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2">
        <v>45663</v>
      </c>
      <c r="G132" s="2">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2">
        <v>45663</v>
      </c>
      <c r="G133" s="2">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2">
        <v>45663</v>
      </c>
      <c r="G134" s="2">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2">
        <v>45663</v>
      </c>
      <c r="G135" s="2">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2">
        <v>45663</v>
      </c>
      <c r="G136" s="2">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2">
        <v>45663</v>
      </c>
      <c r="G137" s="2">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2">
        <v>45663</v>
      </c>
      <c r="G138" s="2">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2">
        <v>45663</v>
      </c>
      <c r="G139" s="2">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2">
        <v>45663</v>
      </c>
      <c r="G140" s="2">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2">
        <v>45663</v>
      </c>
      <c r="G141" s="2">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2">
        <v>45663</v>
      </c>
      <c r="G142" s="2">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2">
        <v>45663</v>
      </c>
      <c r="G143" s="2">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2">
        <v>45663</v>
      </c>
      <c r="G144" s="2">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2">
        <v>45663</v>
      </c>
      <c r="G145" s="2">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2">
        <v>45663</v>
      </c>
      <c r="G146" s="2">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2">
        <v>45663</v>
      </c>
      <c r="G147" s="2">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2">
        <v>45663</v>
      </c>
      <c r="G148" s="2">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2">
        <v>45663</v>
      </c>
      <c r="G149" s="2">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2">
        <v>45663</v>
      </c>
      <c r="G150" s="2">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2">
        <v>45663</v>
      </c>
      <c r="G151" s="2">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2">
        <v>45663</v>
      </c>
      <c r="G152" s="2">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2">
        <v>45664</v>
      </c>
      <c r="G153" s="2">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2">
        <v>45664</v>
      </c>
      <c r="G154" s="2">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2">
        <v>45664</v>
      </c>
      <c r="G155" s="2">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2">
        <v>45664</v>
      </c>
      <c r="G156" s="2">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2">
        <v>45664</v>
      </c>
      <c r="G157" s="2">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2">
        <v>45664</v>
      </c>
      <c r="G158" s="2">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2">
        <v>45664</v>
      </c>
      <c r="G159" s="2">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2">
        <v>45664</v>
      </c>
      <c r="G160" s="2">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2">
        <v>45664</v>
      </c>
      <c r="G161" s="2">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2">
        <v>45664</v>
      </c>
      <c r="G162" s="2">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2">
        <v>45664</v>
      </c>
      <c r="G163" s="2">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2">
        <v>45664</v>
      </c>
      <c r="G164" s="2">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2">
        <v>45664</v>
      </c>
      <c r="G165" s="2">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2">
        <v>45664</v>
      </c>
      <c r="G166" s="2">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2">
        <v>45664</v>
      </c>
      <c r="G167" s="2">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2">
        <v>45664</v>
      </c>
      <c r="G168" s="2">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2">
        <v>45664</v>
      </c>
      <c r="G169" s="2">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2">
        <v>45664</v>
      </c>
      <c r="G170" s="2">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2">
        <v>45664</v>
      </c>
      <c r="G171" s="2">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2">
        <v>45664</v>
      </c>
      <c r="G172" s="2">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2">
        <v>45664</v>
      </c>
      <c r="G173" s="2">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2">
        <v>45664</v>
      </c>
      <c r="G174" s="2">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2">
        <v>45664</v>
      </c>
      <c r="G175" s="2">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2">
        <v>45664</v>
      </c>
      <c r="G176" s="2">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2">
        <v>45664</v>
      </c>
      <c r="G177" s="2">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2">
        <v>45664</v>
      </c>
      <c r="G178" s="2">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2">
        <v>45664</v>
      </c>
      <c r="G179" s="2">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2">
        <v>45664</v>
      </c>
      <c r="G180" s="2">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2">
        <v>45664</v>
      </c>
      <c r="G181" s="2">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2">
        <v>45664</v>
      </c>
      <c r="G182" s="2">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2">
        <v>45664</v>
      </c>
      <c r="G183" s="2">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2">
        <v>45665</v>
      </c>
      <c r="G184" s="2">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2">
        <v>45665</v>
      </c>
      <c r="G185" s="2">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2">
        <v>45665</v>
      </c>
      <c r="G186" s="2">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2">
        <v>45665</v>
      </c>
      <c r="G187" s="2">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2">
        <v>45665</v>
      </c>
      <c r="G188" s="2">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2">
        <v>45665</v>
      </c>
      <c r="G189" s="2">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2">
        <v>45665</v>
      </c>
      <c r="G190" s="2">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2">
        <v>45665</v>
      </c>
      <c r="G191" s="2">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2">
        <v>45665</v>
      </c>
      <c r="G192" s="2">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2">
        <v>45665</v>
      </c>
      <c r="G193" s="2">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2">
        <v>45665</v>
      </c>
      <c r="G194" s="2">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2">
        <v>45665</v>
      </c>
      <c r="G195" s="2">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2">
        <v>45665</v>
      </c>
      <c r="G196" s="2">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2">
        <v>45665</v>
      </c>
      <c r="G197" s="2">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2">
        <v>45665</v>
      </c>
      <c r="G198" s="2">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2">
        <v>45665</v>
      </c>
      <c r="G199" s="2">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2">
        <v>45665</v>
      </c>
      <c r="G200" s="2">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2">
        <v>45665</v>
      </c>
      <c r="G201" s="2">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2">
        <v>45665</v>
      </c>
      <c r="G202" s="2">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2">
        <v>45665</v>
      </c>
      <c r="G203" s="2">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2">
        <v>45666</v>
      </c>
      <c r="G204" s="2">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2">
        <v>45666</v>
      </c>
      <c r="G205" s="2">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2">
        <v>45666</v>
      </c>
      <c r="G206" s="2">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2">
        <v>45666</v>
      </c>
      <c r="G207" s="2">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2">
        <v>45666</v>
      </c>
      <c r="G208" s="2">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2">
        <v>45666</v>
      </c>
      <c r="G209" s="2">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2">
        <v>45666</v>
      </c>
      <c r="G210" s="2">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2">
        <v>45666</v>
      </c>
      <c r="G211" s="2">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2">
        <v>45666</v>
      </c>
      <c r="G212" s="2">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2">
        <v>45666</v>
      </c>
      <c r="G213" s="2">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2">
        <v>45666</v>
      </c>
      <c r="G214" s="2">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2">
        <v>45666</v>
      </c>
      <c r="G215" s="2">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2">
        <v>45666</v>
      </c>
      <c r="G216" s="2">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2">
        <v>45666</v>
      </c>
      <c r="G217" s="2">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2">
        <v>45666</v>
      </c>
      <c r="G218" s="2">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2">
        <v>45666</v>
      </c>
      <c r="G219" s="2">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2">
        <v>45667</v>
      </c>
      <c r="G220" s="2">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2">
        <v>45667</v>
      </c>
      <c r="G221" s="2">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2">
        <v>45667</v>
      </c>
      <c r="G222" s="2">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2">
        <v>45667</v>
      </c>
      <c r="G223" s="2">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2">
        <v>45667</v>
      </c>
      <c r="G224" s="2">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2">
        <v>45667</v>
      </c>
      <c r="G225" s="2">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2">
        <v>45667</v>
      </c>
      <c r="G226" s="2">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2">
        <v>45667</v>
      </c>
      <c r="G227" s="2">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2">
        <v>45667</v>
      </c>
      <c r="G228" s="2">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2">
        <v>45667</v>
      </c>
      <c r="G229" s="2">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2">
        <v>45667</v>
      </c>
      <c r="G230" s="2">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2">
        <v>45667</v>
      </c>
      <c r="G231" s="2">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2">
        <v>45667</v>
      </c>
      <c r="G232" s="2">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2">
        <v>45667</v>
      </c>
      <c r="G233" s="2">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2">
        <v>45667</v>
      </c>
      <c r="G234" s="2">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2">
        <v>45667</v>
      </c>
      <c r="G235" s="2">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2">
        <v>45667</v>
      </c>
      <c r="G236" s="2">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2">
        <v>45667</v>
      </c>
      <c r="G237" s="2">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2">
        <v>45667</v>
      </c>
      <c r="G238" s="2">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2">
        <v>45667</v>
      </c>
      <c r="G239" s="2">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2">
        <v>45667</v>
      </c>
      <c r="G240" s="2">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2">
        <v>45667</v>
      </c>
      <c r="G241" s="2">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2">
        <v>45667</v>
      </c>
      <c r="G242" s="2">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2">
        <v>45667</v>
      </c>
      <c r="G243" s="2">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2">
        <v>45668</v>
      </c>
      <c r="G244" s="2">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2">
        <v>45668</v>
      </c>
      <c r="G245" s="2">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2">
        <v>45668</v>
      </c>
      <c r="G246" s="2">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2">
        <v>45668</v>
      </c>
      <c r="G247" s="2">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2">
        <v>45668</v>
      </c>
      <c r="G248" s="2">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2">
        <v>45668</v>
      </c>
      <c r="G249" s="2">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2">
        <v>45668</v>
      </c>
      <c r="G250" s="2">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2">
        <v>45668</v>
      </c>
      <c r="G251" s="2">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2">
        <v>45668</v>
      </c>
      <c r="G252" s="2">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2">
        <v>45668</v>
      </c>
      <c r="G253" s="2">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2">
        <v>45668</v>
      </c>
      <c r="G254" s="2">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2">
        <v>45668</v>
      </c>
      <c r="G255" s="2">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2">
        <v>45668</v>
      </c>
      <c r="G256" s="2">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2">
        <v>45668</v>
      </c>
      <c r="G257" s="2">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2">
        <v>45669</v>
      </c>
      <c r="G258" s="2">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2">
        <v>45669</v>
      </c>
      <c r="G259" s="2">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2">
        <v>45669</v>
      </c>
      <c r="G260" s="2">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2">
        <v>45669</v>
      </c>
      <c r="G261" s="2">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2">
        <v>45669</v>
      </c>
      <c r="G262" s="2">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2">
        <v>45669</v>
      </c>
      <c r="G263" s="2">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2">
        <v>45669</v>
      </c>
      <c r="G264" s="2">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2">
        <v>45669</v>
      </c>
      <c r="G265" s="2">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2">
        <v>45669</v>
      </c>
      <c r="G266" s="2">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2">
        <v>45669</v>
      </c>
      <c r="G267" s="2">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2">
        <v>45669</v>
      </c>
      <c r="G268" s="2">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2">
        <v>45669</v>
      </c>
      <c r="G269" s="2">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2">
        <v>45669</v>
      </c>
      <c r="G270" s="2">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2">
        <v>45669</v>
      </c>
      <c r="G271" s="2">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2">
        <v>45669</v>
      </c>
      <c r="G272" s="2">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2">
        <v>45669</v>
      </c>
      <c r="G273" s="2">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2">
        <v>45669</v>
      </c>
      <c r="G274" s="2">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2">
        <v>45669</v>
      </c>
      <c r="G275" s="2">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2">
        <v>45669</v>
      </c>
      <c r="G276" s="2">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2">
        <v>45669</v>
      </c>
      <c r="G277" s="2">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2">
        <v>45669</v>
      </c>
      <c r="G278" s="2">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2">
        <v>45669</v>
      </c>
      <c r="G279" s="2">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2">
        <v>45670</v>
      </c>
      <c r="G280" s="2">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2">
        <v>45670</v>
      </c>
      <c r="G281" s="2">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2">
        <v>45670</v>
      </c>
      <c r="G282" s="2">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2">
        <v>45670</v>
      </c>
      <c r="G283" s="2">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2">
        <v>45670</v>
      </c>
      <c r="G284" s="2">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2">
        <v>45670</v>
      </c>
      <c r="G285" s="2">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2">
        <v>45670</v>
      </c>
      <c r="G286" s="2">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2">
        <v>45670</v>
      </c>
      <c r="G287" s="2">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2">
        <v>45670</v>
      </c>
      <c r="G288" s="2">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2">
        <v>45670</v>
      </c>
      <c r="G289" s="2">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2">
        <v>45670</v>
      </c>
      <c r="G290" s="2">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2">
        <v>45670</v>
      </c>
      <c r="G291" s="2">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2">
        <v>45670</v>
      </c>
      <c r="G292" s="2">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2">
        <v>45670</v>
      </c>
      <c r="G293" s="2">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2">
        <v>45670</v>
      </c>
      <c r="G294" s="2">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2">
        <v>45670</v>
      </c>
      <c r="G295" s="2">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2">
        <v>45670</v>
      </c>
      <c r="G296" s="2">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2">
        <v>45670</v>
      </c>
      <c r="G297" s="2">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2">
        <v>45670</v>
      </c>
      <c r="G298" s="2">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2">
        <v>45670</v>
      </c>
      <c r="G299" s="2">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2">
        <v>45670</v>
      </c>
      <c r="G300" s="2">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2">
        <v>45670</v>
      </c>
      <c r="G301" s="2">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2">
        <v>45670</v>
      </c>
      <c r="G302" s="2">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2">
        <v>45670</v>
      </c>
      <c r="G303" s="2">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2">
        <v>45670</v>
      </c>
      <c r="G304" s="2">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2">
        <v>45670</v>
      </c>
      <c r="G305" s="2">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2">
        <v>45670</v>
      </c>
      <c r="G306" s="2">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2">
        <v>45670</v>
      </c>
      <c r="G307" s="2">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2">
        <v>45670</v>
      </c>
      <c r="G308" s="2">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2">
        <v>45670</v>
      </c>
      <c r="G309" s="2">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2">
        <v>45671</v>
      </c>
      <c r="G310" s="2">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2">
        <v>45671</v>
      </c>
      <c r="G311" s="2">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2">
        <v>45671</v>
      </c>
      <c r="G312" s="2">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2">
        <v>45671</v>
      </c>
      <c r="G313" s="2">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2">
        <v>45671</v>
      </c>
      <c r="G314" s="2">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2">
        <v>45671</v>
      </c>
      <c r="G315" s="2">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2">
        <v>45671</v>
      </c>
      <c r="G316" s="2">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2">
        <v>45671</v>
      </c>
      <c r="G317" s="2">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2">
        <v>45671</v>
      </c>
      <c r="G318" s="2">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2">
        <v>45671</v>
      </c>
      <c r="G319" s="2">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2">
        <v>45671</v>
      </c>
      <c r="G320" s="2">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2">
        <v>45671</v>
      </c>
      <c r="G321" s="2">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2">
        <v>45671</v>
      </c>
      <c r="G322" s="2">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2">
        <v>45671</v>
      </c>
      <c r="G323" s="2">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2">
        <v>45671</v>
      </c>
      <c r="G324" s="2">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2">
        <v>45671</v>
      </c>
      <c r="G325" s="2">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2">
        <v>45671</v>
      </c>
      <c r="G326" s="2">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2">
        <v>45672</v>
      </c>
      <c r="G327" s="2">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2">
        <v>45672</v>
      </c>
      <c r="G328" s="2">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2">
        <v>45672</v>
      </c>
      <c r="G329" s="2">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2">
        <v>45672</v>
      </c>
      <c r="G330" s="2">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2">
        <v>45672</v>
      </c>
      <c r="G331" s="2">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2">
        <v>45672</v>
      </c>
      <c r="G332" s="2">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2">
        <v>45672</v>
      </c>
      <c r="G333" s="2">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2">
        <v>45672</v>
      </c>
      <c r="G334" s="2">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2">
        <v>45672</v>
      </c>
      <c r="G335" s="2">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2">
        <v>45672</v>
      </c>
      <c r="G336" s="2">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2">
        <v>45672</v>
      </c>
      <c r="G337" s="2">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2">
        <v>45672</v>
      </c>
      <c r="G338" s="2">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2">
        <v>45672</v>
      </c>
      <c r="G339" s="2">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2">
        <v>45672</v>
      </c>
      <c r="G340" s="2">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2">
        <v>45672</v>
      </c>
      <c r="G341" s="2">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2">
        <v>45672</v>
      </c>
      <c r="G342" s="2">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2">
        <v>45672</v>
      </c>
      <c r="G343" s="2">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2">
        <v>45672</v>
      </c>
      <c r="G344" s="2">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2">
        <v>45672</v>
      </c>
      <c r="G345" s="2">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2">
        <v>45672</v>
      </c>
      <c r="G346" s="2">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2">
        <v>45672</v>
      </c>
      <c r="G347" s="2">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2">
        <v>45672</v>
      </c>
      <c r="G348" s="2">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2">
        <v>45672</v>
      </c>
      <c r="G349" s="2">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2">
        <v>45672</v>
      </c>
      <c r="G350" s="2">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2">
        <v>45672</v>
      </c>
      <c r="G351" s="2">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2">
        <v>45672</v>
      </c>
      <c r="G352" s="2">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2">
        <v>45672</v>
      </c>
      <c r="G353" s="2">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2">
        <v>45672</v>
      </c>
      <c r="G354" s="2">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2">
        <v>45673</v>
      </c>
      <c r="G355" s="2">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2">
        <v>45673</v>
      </c>
      <c r="G356" s="2">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2">
        <v>45673</v>
      </c>
      <c r="G357" s="2">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2">
        <v>45673</v>
      </c>
      <c r="G358" s="2">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2">
        <v>45673</v>
      </c>
      <c r="G359" s="2">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2">
        <v>45673</v>
      </c>
      <c r="G360" s="2">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2">
        <v>45673</v>
      </c>
      <c r="G361" s="2">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2">
        <v>45673</v>
      </c>
      <c r="G362" s="2">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2">
        <v>45673</v>
      </c>
      <c r="G363" s="2">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2">
        <v>45673</v>
      </c>
      <c r="G364" s="2">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2">
        <v>45673</v>
      </c>
      <c r="G365" s="2">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2">
        <v>45673</v>
      </c>
      <c r="G366" s="2">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2">
        <v>45673</v>
      </c>
      <c r="G367" s="2">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2">
        <v>45673</v>
      </c>
      <c r="G368" s="2">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2">
        <v>45673</v>
      </c>
      <c r="G369" s="2">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2">
        <v>45673</v>
      </c>
      <c r="G370" s="2">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2">
        <v>45673</v>
      </c>
      <c r="G371" s="2">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2">
        <v>45673</v>
      </c>
      <c r="G372" s="2">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2">
        <v>45674</v>
      </c>
      <c r="G373" s="2">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2">
        <v>45674</v>
      </c>
      <c r="G374" s="2">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2">
        <v>45674</v>
      </c>
      <c r="G375" s="2">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2">
        <v>45674</v>
      </c>
      <c r="G376" s="2">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2">
        <v>45674</v>
      </c>
      <c r="G377" s="2">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2">
        <v>45674</v>
      </c>
      <c r="G378" s="2">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2">
        <v>45674</v>
      </c>
      <c r="G379" s="2">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2">
        <v>45674</v>
      </c>
      <c r="G380" s="2">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2">
        <v>45674</v>
      </c>
      <c r="G381" s="2">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2">
        <v>45674</v>
      </c>
      <c r="G382" s="2">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2">
        <v>45674</v>
      </c>
      <c r="G383" s="2">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2">
        <v>45674</v>
      </c>
      <c r="G384" s="2">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2">
        <v>45674</v>
      </c>
      <c r="G385" s="2">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2">
        <v>45674</v>
      </c>
      <c r="G386" s="2">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2">
        <v>45674</v>
      </c>
      <c r="G387" s="2">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2">
        <v>45674</v>
      </c>
      <c r="G388" s="2">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2">
        <v>45674</v>
      </c>
      <c r="G389" s="2">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2">
        <v>45674</v>
      </c>
      <c r="G390" s="2">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2">
        <v>45674</v>
      </c>
      <c r="G391" s="2">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2">
        <v>45674</v>
      </c>
      <c r="G392" s="2">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2">
        <v>45675</v>
      </c>
      <c r="G393" s="2">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2">
        <v>45675</v>
      </c>
      <c r="G394" s="2">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2">
        <v>45675</v>
      </c>
      <c r="G395" s="2">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2">
        <v>45675</v>
      </c>
      <c r="G396" s="2">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2">
        <v>45675</v>
      </c>
      <c r="G397" s="2">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2">
        <v>45675</v>
      </c>
      <c r="G398" s="2">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2">
        <v>45675</v>
      </c>
      <c r="G399" s="2">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2">
        <v>45675</v>
      </c>
      <c r="G400" s="2">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2">
        <v>45675</v>
      </c>
      <c r="G401" s="2">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2">
        <v>45675</v>
      </c>
      <c r="G402" s="2">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2">
        <v>45675</v>
      </c>
      <c r="G403" s="2">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2">
        <v>45675</v>
      </c>
      <c r="G404" s="2">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2">
        <v>45675</v>
      </c>
      <c r="G405" s="2">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2">
        <v>45675</v>
      </c>
      <c r="G406" s="2">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2">
        <v>45675</v>
      </c>
      <c r="G407" s="2">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2">
        <v>45675</v>
      </c>
      <c r="G408" s="2">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2">
        <v>45676</v>
      </c>
      <c r="G409" s="2">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2">
        <v>45676</v>
      </c>
      <c r="G410" s="2">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2">
        <v>45676</v>
      </c>
      <c r="G411" s="2">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2">
        <v>45676</v>
      </c>
      <c r="G412" s="2">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2">
        <v>45676</v>
      </c>
      <c r="G413" s="2">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2">
        <v>45676</v>
      </c>
      <c r="G414" s="2">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2">
        <v>45676</v>
      </c>
      <c r="G415" s="2">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2">
        <v>45676</v>
      </c>
      <c r="G416" s="2">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2">
        <v>45676</v>
      </c>
      <c r="G417" s="2">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2">
        <v>45676</v>
      </c>
      <c r="G418" s="2">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2">
        <v>45676</v>
      </c>
      <c r="G419" s="2">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2">
        <v>45676</v>
      </c>
      <c r="G420" s="2">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2">
        <v>45676</v>
      </c>
      <c r="G421" s="2">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2">
        <v>45676</v>
      </c>
      <c r="G422" s="2">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2">
        <v>45676</v>
      </c>
      <c r="G423" s="2">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2">
        <v>45676</v>
      </c>
      <c r="G424" s="2">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2">
        <v>45676</v>
      </c>
      <c r="G425" s="2">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2">
        <v>45676</v>
      </c>
      <c r="G426" s="2">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2">
        <v>45676</v>
      </c>
      <c r="G427" s="2">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2">
        <v>45676</v>
      </c>
      <c r="G428" s="2">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2">
        <v>45676</v>
      </c>
      <c r="G429" s="2">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2">
        <v>45676</v>
      </c>
      <c r="G430" s="2">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2">
        <v>45676</v>
      </c>
      <c r="G431" s="2">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2">
        <v>45676</v>
      </c>
      <c r="G432" s="2">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2">
        <v>45676</v>
      </c>
      <c r="G433" s="2">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2">
        <v>45676</v>
      </c>
      <c r="G434" s="2">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2">
        <v>45676</v>
      </c>
      <c r="G435" s="2">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2">
        <v>45676</v>
      </c>
      <c r="G436" s="2">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2">
        <v>45676</v>
      </c>
      <c r="G437" s="2">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2">
        <v>45676</v>
      </c>
      <c r="G438" s="2">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2">
        <v>45676</v>
      </c>
      <c r="G439" s="2">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2">
        <v>45677</v>
      </c>
      <c r="G440" s="2">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2">
        <v>45677</v>
      </c>
      <c r="G441" s="2">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2">
        <v>45677</v>
      </c>
      <c r="G442" s="2">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2">
        <v>45677</v>
      </c>
      <c r="G443" s="2">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2">
        <v>45677</v>
      </c>
      <c r="G444" s="2">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2">
        <v>45677</v>
      </c>
      <c r="G445" s="2">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2">
        <v>45677</v>
      </c>
      <c r="G446" s="2">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2">
        <v>45677</v>
      </c>
      <c r="G447" s="2">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2">
        <v>45677</v>
      </c>
      <c r="G448" s="2">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2">
        <v>45677</v>
      </c>
      <c r="G449" s="2">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2">
        <v>45677</v>
      </c>
      <c r="G450" s="2">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2">
        <v>45677</v>
      </c>
      <c r="G451" s="2">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2">
        <v>45677</v>
      </c>
      <c r="G452" s="2">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2">
        <v>45677</v>
      </c>
      <c r="G453" s="2">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2">
        <v>45677</v>
      </c>
      <c r="G454" s="2">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2">
        <v>45677</v>
      </c>
      <c r="G455" s="2">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2">
        <v>45677</v>
      </c>
      <c r="G456" s="2">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2">
        <v>45677</v>
      </c>
      <c r="G457" s="2">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2">
        <v>45677</v>
      </c>
      <c r="G458" s="2">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2">
        <v>45678</v>
      </c>
      <c r="G459" s="2">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2">
        <v>45678</v>
      </c>
      <c r="G460" s="2">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2">
        <v>45678</v>
      </c>
      <c r="G461" s="2">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2">
        <v>45678</v>
      </c>
      <c r="G462" s="2">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2">
        <v>45678</v>
      </c>
      <c r="G463" s="2">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2">
        <v>45678</v>
      </c>
      <c r="G464" s="2">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2">
        <v>45678</v>
      </c>
      <c r="G465" s="2">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2">
        <v>45678</v>
      </c>
      <c r="G466" s="2">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2">
        <v>45678</v>
      </c>
      <c r="G467" s="2">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2">
        <v>45678</v>
      </c>
      <c r="G468" s="2">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2">
        <v>45678</v>
      </c>
      <c r="G469" s="2">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2">
        <v>45678</v>
      </c>
      <c r="G470" s="2">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2">
        <v>45678</v>
      </c>
      <c r="G471" s="2">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2">
        <v>45678</v>
      </c>
      <c r="G472" s="2">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2">
        <v>45678</v>
      </c>
      <c r="G473" s="2">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2">
        <v>45678</v>
      </c>
      <c r="G474" s="2">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2">
        <v>45678</v>
      </c>
      <c r="G475" s="2">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2">
        <v>45678</v>
      </c>
      <c r="G476" s="2">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2">
        <v>45678</v>
      </c>
      <c r="G477" s="2">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2">
        <v>45678</v>
      </c>
      <c r="G478" s="2">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2">
        <v>45678</v>
      </c>
      <c r="G479" s="2">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2">
        <v>45678</v>
      </c>
      <c r="G480" s="2">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2">
        <v>45678</v>
      </c>
      <c r="G481" s="2">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2">
        <v>45678</v>
      </c>
      <c r="G482" s="2">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2">
        <v>45678</v>
      </c>
      <c r="G483" s="2">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2">
        <v>45679</v>
      </c>
      <c r="G484" s="2">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2">
        <v>45679</v>
      </c>
      <c r="G485" s="2">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2">
        <v>45679</v>
      </c>
      <c r="G486" s="2">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2">
        <v>45679</v>
      </c>
      <c r="G487" s="2">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2">
        <v>45679</v>
      </c>
      <c r="G488" s="2">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2">
        <v>45679</v>
      </c>
      <c r="G489" s="2">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2">
        <v>45679</v>
      </c>
      <c r="G490" s="2">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2">
        <v>45679</v>
      </c>
      <c r="G491" s="2">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2">
        <v>45679</v>
      </c>
      <c r="G492" s="2">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2">
        <v>45679</v>
      </c>
      <c r="G493" s="2">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2">
        <v>45679</v>
      </c>
      <c r="G494" s="2">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2">
        <v>45679</v>
      </c>
      <c r="G495" s="2">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2">
        <v>45679</v>
      </c>
      <c r="G496" s="2">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2">
        <v>45679</v>
      </c>
      <c r="G497" s="2">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2">
        <v>45679</v>
      </c>
      <c r="G498" s="2">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2">
        <v>45679</v>
      </c>
      <c r="G499" s="2">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2">
        <v>45679</v>
      </c>
      <c r="G500" s="2">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2">
        <v>45679</v>
      </c>
      <c r="G501" s="2">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2">
        <v>45679</v>
      </c>
      <c r="G502" s="2">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2">
        <v>45679</v>
      </c>
      <c r="G503" s="2">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2">
        <v>45679</v>
      </c>
      <c r="G504" s="2">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2">
        <v>45679</v>
      </c>
      <c r="G505" s="2">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2">
        <v>45679</v>
      </c>
      <c r="G506" s="2">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2">
        <v>45679</v>
      </c>
      <c r="G507" s="2">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2">
        <v>45679</v>
      </c>
      <c r="G508" s="2">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2">
        <v>45679</v>
      </c>
      <c r="G509" s="2">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2">
        <v>45679</v>
      </c>
      <c r="G510" s="2">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2">
        <v>45679</v>
      </c>
      <c r="G511" s="2">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2">
        <v>45679</v>
      </c>
      <c r="G512" s="2">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2">
        <v>45679</v>
      </c>
      <c r="G513" s="2">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2">
        <v>45679</v>
      </c>
      <c r="G514" s="2">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2">
        <v>45679</v>
      </c>
      <c r="G515" s="2">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2">
        <v>45680</v>
      </c>
      <c r="G516" s="2">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2">
        <v>45680</v>
      </c>
      <c r="G517" s="2">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2">
        <v>45680</v>
      </c>
      <c r="G518" s="2">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2">
        <v>45680</v>
      </c>
      <c r="G519" s="2">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2">
        <v>45680</v>
      </c>
      <c r="G520" s="2">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2">
        <v>45680</v>
      </c>
      <c r="G521" s="2">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2">
        <v>45680</v>
      </c>
      <c r="G522" s="2">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2">
        <v>45680</v>
      </c>
      <c r="G523" s="2">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2">
        <v>45680</v>
      </c>
      <c r="G524" s="2">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2">
        <v>45680</v>
      </c>
      <c r="G525" s="2">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2">
        <v>45680</v>
      </c>
      <c r="G526" s="2">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2">
        <v>45680</v>
      </c>
      <c r="G527" s="2">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2">
        <v>45680</v>
      </c>
      <c r="G528" s="2">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2">
        <v>45680</v>
      </c>
      <c r="G529" s="2">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2">
        <v>45680</v>
      </c>
      <c r="G530" s="2">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2">
        <v>45680</v>
      </c>
      <c r="G531" s="2">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2">
        <v>45680</v>
      </c>
      <c r="G532" s="2">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2">
        <v>45680</v>
      </c>
      <c r="G533" s="2">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2">
        <v>45680</v>
      </c>
      <c r="G534" s="2">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2">
        <v>45680</v>
      </c>
      <c r="G535" s="2">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2">
        <v>45680</v>
      </c>
      <c r="G536" s="2">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2">
        <v>45680</v>
      </c>
      <c r="G537" s="2">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2">
        <v>45680</v>
      </c>
      <c r="G538" s="2">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2">
        <v>45680</v>
      </c>
      <c r="G539" s="2">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2">
        <v>45680</v>
      </c>
      <c r="G540" s="2">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2">
        <v>45680</v>
      </c>
      <c r="G541" s="2">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2">
        <v>45680</v>
      </c>
      <c r="G542" s="2">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2">
        <v>45680</v>
      </c>
      <c r="G543" s="2">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2">
        <v>45680</v>
      </c>
      <c r="G544" s="2">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2">
        <v>45680</v>
      </c>
      <c r="G545" s="2">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2">
        <v>45680</v>
      </c>
      <c r="G546" s="2">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2">
        <v>45681</v>
      </c>
      <c r="G547" s="2">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2">
        <v>45681</v>
      </c>
      <c r="G548" s="2">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2">
        <v>45681</v>
      </c>
      <c r="G549" s="2">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2">
        <v>45681</v>
      </c>
      <c r="G550" s="2">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2">
        <v>45681</v>
      </c>
      <c r="G551" s="2">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2">
        <v>45681</v>
      </c>
      <c r="G552" s="2">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2">
        <v>45681</v>
      </c>
      <c r="G553" s="2">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2">
        <v>45681</v>
      </c>
      <c r="G554" s="2">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2">
        <v>45681</v>
      </c>
      <c r="G555" s="2">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2">
        <v>45681</v>
      </c>
      <c r="G556" s="2">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2">
        <v>45681</v>
      </c>
      <c r="G557" s="2">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2">
        <v>45681</v>
      </c>
      <c r="G558" s="2">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2">
        <v>45681</v>
      </c>
      <c r="G559" s="2">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2">
        <v>45681</v>
      </c>
      <c r="G560" s="2">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2">
        <v>45681</v>
      </c>
      <c r="G561" s="2">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2">
        <v>45681</v>
      </c>
      <c r="G562" s="2">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2">
        <v>45681</v>
      </c>
      <c r="G563" s="2">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2">
        <v>45681</v>
      </c>
      <c r="G564" s="2">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2">
        <v>45682</v>
      </c>
      <c r="G565" s="2">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2">
        <v>45682</v>
      </c>
      <c r="G566" s="2">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2">
        <v>45682</v>
      </c>
      <c r="G567" s="2">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2">
        <v>45682</v>
      </c>
      <c r="G568" s="2">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2">
        <v>45682</v>
      </c>
      <c r="G569" s="2">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2">
        <v>45682</v>
      </c>
      <c r="G570" s="2">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2">
        <v>45682</v>
      </c>
      <c r="G571" s="2">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2">
        <v>45682</v>
      </c>
      <c r="G572" s="2">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2">
        <v>45682</v>
      </c>
      <c r="G573" s="2">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2">
        <v>45682</v>
      </c>
      <c r="G574" s="2">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2">
        <v>45682</v>
      </c>
      <c r="G575" s="2">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2">
        <v>45682</v>
      </c>
      <c r="G576" s="2">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2">
        <v>45682</v>
      </c>
      <c r="G577" s="2">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2">
        <v>45682</v>
      </c>
      <c r="G578" s="2">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2">
        <v>45682</v>
      </c>
      <c r="G579" s="2">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2">
        <v>45682</v>
      </c>
      <c r="G580" s="2">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2">
        <v>45682</v>
      </c>
      <c r="G581" s="2">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2">
        <v>45682</v>
      </c>
      <c r="G582" s="2">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2">
        <v>45682</v>
      </c>
      <c r="G583" s="2">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2">
        <v>45683</v>
      </c>
      <c r="G584" s="2">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2">
        <v>45683</v>
      </c>
      <c r="G585" s="2">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2">
        <v>45683</v>
      </c>
      <c r="G586" s="2">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2">
        <v>45683</v>
      </c>
      <c r="G587" s="2">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2">
        <v>45683</v>
      </c>
      <c r="G588" s="2">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2">
        <v>45683</v>
      </c>
      <c r="G589" s="2">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2">
        <v>45683</v>
      </c>
      <c r="G590" s="2">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2">
        <v>45683</v>
      </c>
      <c r="G591" s="2">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2">
        <v>45683</v>
      </c>
      <c r="G592" s="2">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2">
        <v>45683</v>
      </c>
      <c r="G593" s="2">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2">
        <v>45683</v>
      </c>
      <c r="G594" s="2">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2">
        <v>45683</v>
      </c>
      <c r="G595" s="2">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2">
        <v>45683</v>
      </c>
      <c r="G596" s="2">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2">
        <v>45683</v>
      </c>
      <c r="G597" s="2">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2">
        <v>45683</v>
      </c>
      <c r="G598" s="2">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2">
        <v>45683</v>
      </c>
      <c r="G599" s="2">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2">
        <v>45683</v>
      </c>
      <c r="G600" s="2">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2">
        <v>45683</v>
      </c>
      <c r="G601" s="2">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2">
        <v>45683</v>
      </c>
      <c r="G602" s="2">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2">
        <v>45683</v>
      </c>
      <c r="G603" s="2">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2">
        <v>45683</v>
      </c>
      <c r="G604" s="2">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2">
        <v>45683</v>
      </c>
      <c r="G605" s="2">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2">
        <v>45683</v>
      </c>
      <c r="G606" s="2">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2">
        <v>45683</v>
      </c>
      <c r="G607" s="2">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2">
        <v>45683</v>
      </c>
      <c r="G608" s="2">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2">
        <v>45683</v>
      </c>
      <c r="G609" s="2">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2">
        <v>45683</v>
      </c>
      <c r="G610" s="2">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2">
        <v>45683</v>
      </c>
      <c r="G611" s="2">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2">
        <v>45683</v>
      </c>
      <c r="G612" s="2">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2">
        <v>45683</v>
      </c>
      <c r="G613" s="2">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2">
        <v>45683</v>
      </c>
      <c r="G614" s="2">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2">
        <v>45683</v>
      </c>
      <c r="G615" s="2">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2">
        <v>45683</v>
      </c>
      <c r="G616" s="2">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2">
        <v>45683</v>
      </c>
      <c r="G617" s="2">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2">
        <v>45683</v>
      </c>
      <c r="G618" s="2">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2">
        <v>45684</v>
      </c>
      <c r="G619" s="2">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2">
        <v>45684</v>
      </c>
      <c r="G620" s="2">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2">
        <v>45684</v>
      </c>
      <c r="G621" s="2">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2">
        <v>45684</v>
      </c>
      <c r="G622" s="2">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2">
        <v>45684</v>
      </c>
      <c r="G623" s="2">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2">
        <v>45684</v>
      </c>
      <c r="G624" s="2">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2">
        <v>45684</v>
      </c>
      <c r="G625" s="2">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2">
        <v>45684</v>
      </c>
      <c r="G626" s="2">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2">
        <v>45684</v>
      </c>
      <c r="G627" s="2">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2">
        <v>45684</v>
      </c>
      <c r="G628" s="2">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2">
        <v>45684</v>
      </c>
      <c r="G629" s="2">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2">
        <v>45684</v>
      </c>
      <c r="G630" s="2">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2">
        <v>45684</v>
      </c>
      <c r="G631" s="2">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2">
        <v>45685</v>
      </c>
      <c r="G632" s="2">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2">
        <v>45685</v>
      </c>
      <c r="G633" s="2">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2">
        <v>45685</v>
      </c>
      <c r="G634" s="2">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2">
        <v>45685</v>
      </c>
      <c r="G635" s="2">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2">
        <v>45685</v>
      </c>
      <c r="G636" s="2">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2">
        <v>45685</v>
      </c>
      <c r="G637" s="2">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2">
        <v>45685</v>
      </c>
      <c r="G638" s="2">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2">
        <v>45685</v>
      </c>
      <c r="G639" s="2">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2">
        <v>45685</v>
      </c>
      <c r="G640" s="2">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2">
        <v>45685</v>
      </c>
      <c r="G641" s="2">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2">
        <v>45685</v>
      </c>
      <c r="G642" s="2">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2">
        <v>45685</v>
      </c>
      <c r="G643" s="2">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2">
        <v>45685</v>
      </c>
      <c r="G644" s="2">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2">
        <v>45685</v>
      </c>
      <c r="G645" s="2">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2">
        <v>45685</v>
      </c>
      <c r="G646" s="2">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2">
        <v>45685</v>
      </c>
      <c r="G647" s="2">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2">
        <v>45686</v>
      </c>
      <c r="G648" s="2">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2">
        <v>45686</v>
      </c>
      <c r="G649" s="2">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2">
        <v>45686</v>
      </c>
      <c r="G650" s="2">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2">
        <v>45686</v>
      </c>
      <c r="G651" s="2">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2">
        <v>45686</v>
      </c>
      <c r="G652" s="2">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2">
        <v>45686</v>
      </c>
      <c r="G653" s="2">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2">
        <v>45686</v>
      </c>
      <c r="G654" s="2">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2">
        <v>45686</v>
      </c>
      <c r="G655" s="2">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2">
        <v>45686</v>
      </c>
      <c r="G656" s="2">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2">
        <v>45686</v>
      </c>
      <c r="G657" s="2">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2">
        <v>45686</v>
      </c>
      <c r="G658" s="2">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2">
        <v>45686</v>
      </c>
      <c r="G659" s="2">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2">
        <v>45686</v>
      </c>
      <c r="G660" s="2">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2">
        <v>45686</v>
      </c>
      <c r="G661" s="2">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2">
        <v>45686</v>
      </c>
      <c r="G662" s="2">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2">
        <v>45686</v>
      </c>
      <c r="G663" s="2">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2">
        <v>45686</v>
      </c>
      <c r="G664" s="2">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2">
        <v>45686</v>
      </c>
      <c r="G665" s="2">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2">
        <v>45686</v>
      </c>
      <c r="G666" s="2">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2">
        <v>45686</v>
      </c>
      <c r="G667" s="2">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2">
        <v>45686</v>
      </c>
      <c r="G668" s="2">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2">
        <v>45686</v>
      </c>
      <c r="G669" s="2">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2">
        <v>45686</v>
      </c>
      <c r="G670" s="2">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2">
        <v>45686</v>
      </c>
      <c r="G671" s="2">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2">
        <v>45686</v>
      </c>
      <c r="G672" s="2">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2">
        <v>45686</v>
      </c>
      <c r="G673" s="2">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2">
        <v>45686</v>
      </c>
      <c r="G674" s="2">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2">
        <v>45686</v>
      </c>
      <c r="G675" s="2">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2">
        <v>45686</v>
      </c>
      <c r="G676" s="2">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2">
        <v>45686</v>
      </c>
      <c r="G677" s="2">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2">
        <v>45686</v>
      </c>
      <c r="G678" s="2">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2">
        <v>45686</v>
      </c>
      <c r="G679" s="2">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2">
        <v>45687</v>
      </c>
      <c r="G680" s="2">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2">
        <v>45687</v>
      </c>
      <c r="G681" s="2">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2">
        <v>45687</v>
      </c>
      <c r="G682" s="2">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2">
        <v>45687</v>
      </c>
      <c r="G683" s="2">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2">
        <v>45687</v>
      </c>
      <c r="G684" s="2">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2">
        <v>45687</v>
      </c>
      <c r="G685" s="2">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2">
        <v>45687</v>
      </c>
      <c r="G686" s="2">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2">
        <v>45687</v>
      </c>
      <c r="G687" s="2">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2">
        <v>45687</v>
      </c>
      <c r="G688" s="2">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2">
        <v>45687</v>
      </c>
      <c r="G689" s="2">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2">
        <v>45687</v>
      </c>
      <c r="G690" s="2">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2">
        <v>45687</v>
      </c>
      <c r="G691" s="2">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2">
        <v>45687</v>
      </c>
      <c r="G692" s="2">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2">
        <v>45687</v>
      </c>
      <c r="G693" s="2">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2">
        <v>45687</v>
      </c>
      <c r="G694" s="2">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2">
        <v>45687</v>
      </c>
      <c r="G695" s="2">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2">
        <v>45687</v>
      </c>
      <c r="G696" s="2">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2">
        <v>45687</v>
      </c>
      <c r="G697" s="2">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2">
        <v>45687</v>
      </c>
      <c r="G698" s="2">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2">
        <v>45687</v>
      </c>
      <c r="G699" s="2">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2">
        <v>45687</v>
      </c>
      <c r="G700" s="2">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2">
        <v>45687</v>
      </c>
      <c r="G701" s="2">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2">
        <v>45687</v>
      </c>
      <c r="G702" s="2">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2">
        <v>45687</v>
      </c>
      <c r="G703" s="2">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2">
        <v>45687</v>
      </c>
      <c r="G704" s="2">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2">
        <v>45687</v>
      </c>
      <c r="G705" s="2">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2">
        <v>45687</v>
      </c>
      <c r="G706" s="2">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2">
        <v>45687</v>
      </c>
      <c r="G707" s="2">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2">
        <v>45687</v>
      </c>
      <c r="G708" s="2">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2">
        <v>45688</v>
      </c>
      <c r="G709" s="2">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2">
        <v>45688</v>
      </c>
      <c r="G710" s="2">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2">
        <v>45688</v>
      </c>
      <c r="G711" s="2">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2">
        <v>45688</v>
      </c>
      <c r="G712" s="2">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2">
        <v>45688</v>
      </c>
      <c r="G713" s="2">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2">
        <v>45688</v>
      </c>
      <c r="G714" s="2">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2">
        <v>45688</v>
      </c>
      <c r="G715" s="2">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2">
        <v>45688</v>
      </c>
      <c r="G716" s="2">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2">
        <v>45688</v>
      </c>
      <c r="G717" s="2">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2">
        <v>45688</v>
      </c>
      <c r="G718" s="2">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2">
        <v>45688</v>
      </c>
      <c r="G719" s="2">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2">
        <v>45688</v>
      </c>
      <c r="G720" s="2">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2">
        <v>45688</v>
      </c>
      <c r="G721" s="2">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2">
        <v>45688</v>
      </c>
      <c r="G722" s="2">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2">
        <v>45688</v>
      </c>
      <c r="G723" s="2">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2">
        <v>45688</v>
      </c>
      <c r="G724" s="2">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2">
        <v>45688</v>
      </c>
      <c r="G725" s="2">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2">
        <v>45688</v>
      </c>
      <c r="G726" s="2">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2">
        <v>45688</v>
      </c>
      <c r="G727" s="2">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2">
        <v>45688</v>
      </c>
      <c r="G728" s="2">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2">
        <v>45688</v>
      </c>
      <c r="G729" s="2">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2">
        <v>45688</v>
      </c>
      <c r="G730" s="2">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2">
        <v>45688</v>
      </c>
      <c r="G731" s="2">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2">
        <v>45689</v>
      </c>
      <c r="G732" s="2">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2">
        <v>45689</v>
      </c>
      <c r="G733" s="2">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2">
        <v>45689</v>
      </c>
      <c r="G734" s="2">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2">
        <v>45689</v>
      </c>
      <c r="G735" s="2">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2">
        <v>45689</v>
      </c>
      <c r="G736" s="2">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2">
        <v>45689</v>
      </c>
      <c r="G737" s="2">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2">
        <v>45689</v>
      </c>
      <c r="G738" s="2">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2">
        <v>45689</v>
      </c>
      <c r="G739" s="2">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2">
        <v>45689</v>
      </c>
      <c r="G740" s="2">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2">
        <v>45689</v>
      </c>
      <c r="G741" s="2">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2">
        <v>45689</v>
      </c>
      <c r="G742" s="2">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2">
        <v>45689</v>
      </c>
      <c r="G743" s="2">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2">
        <v>45689</v>
      </c>
      <c r="G744" s="2">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2">
        <v>45689</v>
      </c>
      <c r="G745" s="2">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2">
        <v>45690</v>
      </c>
      <c r="G746" s="2">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2">
        <v>45690</v>
      </c>
      <c r="G747" s="2">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2">
        <v>45690</v>
      </c>
      <c r="G748" s="2">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2">
        <v>45690</v>
      </c>
      <c r="G749" s="2">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2">
        <v>45690</v>
      </c>
      <c r="G750" s="2">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2">
        <v>45690</v>
      </c>
      <c r="G751" s="2">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2">
        <v>45690</v>
      </c>
      <c r="G752" s="2">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2">
        <v>45690</v>
      </c>
      <c r="G753" s="2">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2">
        <v>45690</v>
      </c>
      <c r="G754" s="2">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2">
        <v>45690</v>
      </c>
      <c r="G755" s="2">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2">
        <v>45690</v>
      </c>
      <c r="G756" s="2">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2">
        <v>45690</v>
      </c>
      <c r="G757" s="2">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2">
        <v>45690</v>
      </c>
      <c r="G758" s="2">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2">
        <v>45690</v>
      </c>
      <c r="G759" s="2">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2">
        <v>45690</v>
      </c>
      <c r="G760" s="2">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2">
        <v>45690</v>
      </c>
      <c r="G761" s="2">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2">
        <v>45690</v>
      </c>
      <c r="G762" s="2">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2">
        <v>45690</v>
      </c>
      <c r="G763" s="2">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2">
        <v>45690</v>
      </c>
      <c r="G764" s="2">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2">
        <v>45690</v>
      </c>
      <c r="G765" s="2">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2">
        <v>45690</v>
      </c>
      <c r="G766" s="2">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2">
        <v>45690</v>
      </c>
      <c r="G767" s="2">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2">
        <v>45690</v>
      </c>
      <c r="G768" s="2">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2">
        <v>45690</v>
      </c>
      <c r="G769" s="2">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2">
        <v>45690</v>
      </c>
      <c r="G770" s="2">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2">
        <v>45690</v>
      </c>
      <c r="G771" s="2">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2">
        <v>45690</v>
      </c>
      <c r="G772" s="2">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2">
        <v>45690</v>
      </c>
      <c r="G773" s="2">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2">
        <v>45690</v>
      </c>
      <c r="G774" s="2">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2">
        <v>45690</v>
      </c>
      <c r="G775" s="2">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2">
        <v>45690</v>
      </c>
      <c r="G776" s="2">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2">
        <v>45690</v>
      </c>
      <c r="G777" s="2">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2">
        <v>45690</v>
      </c>
      <c r="G778" s="2">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2">
        <v>45690</v>
      </c>
      <c r="G779" s="2">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2">
        <v>45690</v>
      </c>
      <c r="G780" s="2">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2">
        <v>45690</v>
      </c>
      <c r="G781" s="2">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2">
        <v>45690</v>
      </c>
      <c r="G782" s="2">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2">
        <v>45691</v>
      </c>
      <c r="G783" s="2">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2">
        <v>45691</v>
      </c>
      <c r="G784" s="2">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2">
        <v>45691</v>
      </c>
      <c r="G785" s="2">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2">
        <v>45691</v>
      </c>
      <c r="G786" s="2">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2">
        <v>45691</v>
      </c>
      <c r="G787" s="2">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2">
        <v>45691</v>
      </c>
      <c r="G788" s="2">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2">
        <v>45691</v>
      </c>
      <c r="G789" s="2">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2">
        <v>45691</v>
      </c>
      <c r="G790" s="2">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2">
        <v>45691</v>
      </c>
      <c r="G791" s="2">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2">
        <v>45691</v>
      </c>
      <c r="G792" s="2">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2">
        <v>45691</v>
      </c>
      <c r="G793" s="2">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2">
        <v>45691</v>
      </c>
      <c r="G794" s="2">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2">
        <v>45691</v>
      </c>
      <c r="G795" s="2">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2">
        <v>45691</v>
      </c>
      <c r="G796" s="2">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2">
        <v>45691</v>
      </c>
      <c r="G797" s="2">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2">
        <v>45691</v>
      </c>
      <c r="G798" s="2">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2">
        <v>45691</v>
      </c>
      <c r="G799" s="2">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2">
        <v>45691</v>
      </c>
      <c r="G800" s="2">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2">
        <v>45691</v>
      </c>
      <c r="G801" s="2">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2">
        <v>45691</v>
      </c>
      <c r="G802" s="2">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2">
        <v>45691</v>
      </c>
      <c r="G803" s="2">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2">
        <v>45691</v>
      </c>
      <c r="G804" s="2">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2">
        <v>45692</v>
      </c>
      <c r="G805" s="2">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2">
        <v>45692</v>
      </c>
      <c r="G806" s="2">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2">
        <v>45692</v>
      </c>
      <c r="G807" s="2">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2">
        <v>45692</v>
      </c>
      <c r="G808" s="2">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2">
        <v>45692</v>
      </c>
      <c r="G809" s="2">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2">
        <v>45692</v>
      </c>
      <c r="G810" s="2">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2">
        <v>45692</v>
      </c>
      <c r="G811" s="2">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2">
        <v>45692</v>
      </c>
      <c r="G812" s="2">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2">
        <v>45692</v>
      </c>
      <c r="G813" s="2">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2">
        <v>45692</v>
      </c>
      <c r="G814" s="2">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2">
        <v>45692</v>
      </c>
      <c r="G815" s="2">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2">
        <v>45692</v>
      </c>
      <c r="G816" s="2">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2">
        <v>45692</v>
      </c>
      <c r="G817" s="2">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2">
        <v>45692</v>
      </c>
      <c r="G818" s="2">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2">
        <v>45692</v>
      </c>
      <c r="G819" s="2">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2">
        <v>45692</v>
      </c>
      <c r="G820" s="2">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2">
        <v>45692</v>
      </c>
      <c r="G821" s="2">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2">
        <v>45692</v>
      </c>
      <c r="G822" s="2">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2">
        <v>45692</v>
      </c>
      <c r="G823" s="2">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2">
        <v>45692</v>
      </c>
      <c r="G824" s="2">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2">
        <v>45692</v>
      </c>
      <c r="G825" s="2">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2">
        <v>45692</v>
      </c>
      <c r="G826" s="2">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2">
        <v>45692</v>
      </c>
      <c r="G827" s="2">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2">
        <v>45692</v>
      </c>
      <c r="G828" s="2">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2">
        <v>45692</v>
      </c>
      <c r="G829" s="2">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2">
        <v>45692</v>
      </c>
      <c r="G830" s="2">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2">
        <v>45692</v>
      </c>
      <c r="G831" s="2">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2">
        <v>45692</v>
      </c>
      <c r="G832" s="2">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2">
        <v>45692</v>
      </c>
      <c r="G833" s="2">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2">
        <v>45692</v>
      </c>
      <c r="G834" s="2">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2">
        <v>45692</v>
      </c>
      <c r="G835" s="2">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2">
        <v>45692</v>
      </c>
      <c r="G836" s="2">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2">
        <v>45692</v>
      </c>
      <c r="G837" s="2">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2">
        <v>45692</v>
      </c>
      <c r="G838" s="2">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2">
        <v>45692</v>
      </c>
      <c r="G839" s="2">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2">
        <v>45692</v>
      </c>
      <c r="G840" s="2">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2">
        <v>45692</v>
      </c>
      <c r="G841" s="2">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2">
        <v>45692</v>
      </c>
      <c r="G842" s="2">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2">
        <v>45692</v>
      </c>
      <c r="G843" s="2">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2">
        <v>45692</v>
      </c>
      <c r="G844" s="2">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2">
        <v>45692</v>
      </c>
      <c r="G845" s="2">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2">
        <v>45692</v>
      </c>
      <c r="G846" s="2">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2">
        <v>45692</v>
      </c>
      <c r="G847" s="2">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2">
        <v>45693</v>
      </c>
      <c r="G848" s="2">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2">
        <v>45693</v>
      </c>
      <c r="G849" s="2">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2">
        <v>45693</v>
      </c>
      <c r="G850" s="2">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2">
        <v>45693</v>
      </c>
      <c r="G851" s="2">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2">
        <v>45693</v>
      </c>
      <c r="G852" s="2">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2">
        <v>45693</v>
      </c>
      <c r="G853" s="2">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2">
        <v>45693</v>
      </c>
      <c r="G854" s="2">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2">
        <v>45693</v>
      </c>
      <c r="G855" s="2">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2">
        <v>45693</v>
      </c>
      <c r="G856" s="2">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2">
        <v>45693</v>
      </c>
      <c r="G857" s="2">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2">
        <v>45693</v>
      </c>
      <c r="G858" s="2">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2">
        <v>45693</v>
      </c>
      <c r="G859" s="2">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2">
        <v>45693</v>
      </c>
      <c r="G860" s="2">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2">
        <v>45693</v>
      </c>
      <c r="G861" s="2">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2">
        <v>45693</v>
      </c>
      <c r="G862" s="2">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2">
        <v>45693</v>
      </c>
      <c r="G863" s="2">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2">
        <v>45693</v>
      </c>
      <c r="G864" s="2">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2">
        <v>45693</v>
      </c>
      <c r="G865" s="2">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2">
        <v>45693</v>
      </c>
      <c r="G866" s="2">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2">
        <v>45693</v>
      </c>
      <c r="G867" s="2">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2">
        <v>45693</v>
      </c>
      <c r="G868" s="2">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2">
        <v>45693</v>
      </c>
      <c r="G869" s="2">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2">
        <v>45693</v>
      </c>
      <c r="G870" s="2">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2">
        <v>45693</v>
      </c>
      <c r="G871" s="2">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2">
        <v>45693</v>
      </c>
      <c r="G872" s="2">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2">
        <v>45693</v>
      </c>
      <c r="G873" s="2">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2">
        <v>45693</v>
      </c>
      <c r="G874" s="2">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2">
        <v>45693</v>
      </c>
      <c r="G875" s="2">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2">
        <v>45693</v>
      </c>
      <c r="G876" s="2">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2">
        <v>45694</v>
      </c>
      <c r="G877" s="2">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2">
        <v>45694</v>
      </c>
      <c r="G878" s="2">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2">
        <v>45694</v>
      </c>
      <c r="G879" s="2">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2">
        <v>45694</v>
      </c>
      <c r="G880" s="2">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2">
        <v>45694</v>
      </c>
      <c r="G881" s="2">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2">
        <v>45694</v>
      </c>
      <c r="G882" s="2">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2">
        <v>45694</v>
      </c>
      <c r="G883" s="2">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2">
        <v>45694</v>
      </c>
      <c r="G884" s="2">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2">
        <v>45694</v>
      </c>
      <c r="G885" s="2">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2">
        <v>45694</v>
      </c>
      <c r="G886" s="2">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2">
        <v>45694</v>
      </c>
      <c r="G887" s="2">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2">
        <v>45694</v>
      </c>
      <c r="G888" s="2">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2">
        <v>45694</v>
      </c>
      <c r="G889" s="2">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2">
        <v>45694</v>
      </c>
      <c r="G890" s="2">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2">
        <v>45694</v>
      </c>
      <c r="G891" s="2">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2">
        <v>45694</v>
      </c>
      <c r="G892" s="2">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2">
        <v>45694</v>
      </c>
      <c r="G893" s="2">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2">
        <v>45694</v>
      </c>
      <c r="G894" s="2">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2">
        <v>45694</v>
      </c>
      <c r="G895" s="2">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2">
        <v>45694</v>
      </c>
      <c r="G896" s="2">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2">
        <v>45694</v>
      </c>
      <c r="G897" s="2">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2">
        <v>45694</v>
      </c>
      <c r="G898" s="2">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2">
        <v>45694</v>
      </c>
      <c r="G899" s="2">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2">
        <v>45694</v>
      </c>
      <c r="G900" s="2">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2">
        <v>45694</v>
      </c>
      <c r="G901" s="2">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2">
        <v>45694</v>
      </c>
      <c r="G902" s="2">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2">
        <v>45694</v>
      </c>
      <c r="G903" s="2">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2">
        <v>45694</v>
      </c>
      <c r="G904" s="2">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2">
        <v>45694</v>
      </c>
      <c r="G905" s="2">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2">
        <v>45694</v>
      </c>
      <c r="G906" s="2">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2">
        <v>45694</v>
      </c>
      <c r="G907" s="2">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2">
        <v>45694</v>
      </c>
      <c r="G908" s="2">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2">
        <v>45694</v>
      </c>
      <c r="G909" s="2">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2">
        <v>45694</v>
      </c>
      <c r="G910" s="2">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2">
        <v>45694</v>
      </c>
      <c r="G911" s="2">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2">
        <v>45694</v>
      </c>
      <c r="G912" s="2">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2">
        <v>45694</v>
      </c>
      <c r="G913" s="2">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2">
        <v>45694</v>
      </c>
      <c r="G914" s="2">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2">
        <v>45694</v>
      </c>
      <c r="G915" s="2">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2">
        <v>45694</v>
      </c>
      <c r="G916" s="2">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2">
        <v>45694</v>
      </c>
      <c r="G917" s="2">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2">
        <v>45694</v>
      </c>
      <c r="G918" s="2">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2">
        <v>45694</v>
      </c>
      <c r="G919" s="2">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2">
        <v>45694</v>
      </c>
      <c r="G920" s="2">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2">
        <v>45694</v>
      </c>
      <c r="G921" s="2">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2">
        <v>45694</v>
      </c>
      <c r="G922" s="2">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2">
        <v>45694</v>
      </c>
      <c r="G923" s="2">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2">
        <v>45694</v>
      </c>
      <c r="G924" s="2">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2">
        <v>45694</v>
      </c>
      <c r="G925" s="2">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2">
        <v>45694</v>
      </c>
      <c r="G926" s="2">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2">
        <v>45694</v>
      </c>
      <c r="G927" s="2">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2">
        <v>45694</v>
      </c>
      <c r="G928" s="2">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2">
        <v>45694</v>
      </c>
      <c r="G929" s="2">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2">
        <v>45694</v>
      </c>
      <c r="G930" s="2">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2">
        <v>45694</v>
      </c>
      <c r="G931" s="2">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2">
        <v>45694</v>
      </c>
      <c r="G932" s="2">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2">
        <v>45695</v>
      </c>
      <c r="G933" s="2">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2">
        <v>45695</v>
      </c>
      <c r="G934" s="2">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2">
        <v>45695</v>
      </c>
      <c r="G935" s="2">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2">
        <v>45695</v>
      </c>
      <c r="G936" s="2">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2">
        <v>45695</v>
      </c>
      <c r="G937" s="2">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2">
        <v>45695</v>
      </c>
      <c r="G938" s="2">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2">
        <v>45695</v>
      </c>
      <c r="G939" s="2">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2">
        <v>45695</v>
      </c>
      <c r="G940" s="2">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2">
        <v>45695</v>
      </c>
      <c r="G941" s="2">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2">
        <v>45695</v>
      </c>
      <c r="G942" s="2">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2">
        <v>45695</v>
      </c>
      <c r="G943" s="2">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2">
        <v>45695</v>
      </c>
      <c r="G944" s="2">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2">
        <v>45695</v>
      </c>
      <c r="G945" s="2">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2">
        <v>45695</v>
      </c>
      <c r="G946" s="2">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2">
        <v>45695</v>
      </c>
      <c r="G947" s="2">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2">
        <v>45695</v>
      </c>
      <c r="G948" s="2">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2">
        <v>45695</v>
      </c>
      <c r="G949" s="2">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2">
        <v>45695</v>
      </c>
      <c r="G950" s="2">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2">
        <v>45695</v>
      </c>
      <c r="G951" s="2">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2">
        <v>45695</v>
      </c>
      <c r="G952" s="2">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2">
        <v>45695</v>
      </c>
      <c r="G953" s="2">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2">
        <v>45695</v>
      </c>
      <c r="G954" s="2">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2">
        <v>45696</v>
      </c>
      <c r="G955" s="2">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2">
        <v>45696</v>
      </c>
      <c r="G956" s="2">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2">
        <v>45696</v>
      </c>
      <c r="G957" s="2">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2">
        <v>45696</v>
      </c>
      <c r="G958" s="2">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2">
        <v>45696</v>
      </c>
      <c r="G959" s="2">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2">
        <v>45696</v>
      </c>
      <c r="G960" s="2">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2">
        <v>45696</v>
      </c>
      <c r="G961" s="2">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2">
        <v>45696</v>
      </c>
      <c r="G962" s="2">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2">
        <v>45696</v>
      </c>
      <c r="G963" s="2">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2">
        <v>45696</v>
      </c>
      <c r="G964" s="2">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2">
        <v>45696</v>
      </c>
      <c r="G965" s="2">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2">
        <v>45696</v>
      </c>
      <c r="G966" s="2">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2">
        <v>45696</v>
      </c>
      <c r="G967" s="2">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2">
        <v>45696</v>
      </c>
      <c r="G968" s="2">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2">
        <v>45696</v>
      </c>
      <c r="G969" s="2">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2">
        <v>45696</v>
      </c>
      <c r="G970" s="2">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2">
        <v>45696</v>
      </c>
      <c r="G971" s="2">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2">
        <v>45696</v>
      </c>
      <c r="G972" s="2">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2">
        <v>45696</v>
      </c>
      <c r="G973" s="2">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2">
        <v>45696</v>
      </c>
      <c r="G974" s="2">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2">
        <v>45696</v>
      </c>
      <c r="G975" s="2">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2">
        <v>45696</v>
      </c>
      <c r="G976" s="2">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2">
        <v>45696</v>
      </c>
      <c r="G977" s="2">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2">
        <v>45696</v>
      </c>
      <c r="G978" s="2">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2">
        <v>45696</v>
      </c>
      <c r="G979" s="2">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2">
        <v>45696</v>
      </c>
      <c r="G980" s="2">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2">
        <v>45696</v>
      </c>
      <c r="G981" s="2">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2">
        <v>45696</v>
      </c>
      <c r="G982" s="2">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2">
        <v>45696</v>
      </c>
      <c r="G983" s="2">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2">
        <v>45696</v>
      </c>
      <c r="G984" s="2">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2">
        <v>45696</v>
      </c>
      <c r="G985" s="2">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2">
        <v>45697</v>
      </c>
      <c r="G986" s="2">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2">
        <v>45697</v>
      </c>
      <c r="G987" s="2">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2">
        <v>45697</v>
      </c>
      <c r="G988" s="2">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2">
        <v>45697</v>
      </c>
      <c r="G989" s="2">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2">
        <v>45697</v>
      </c>
      <c r="G990" s="2">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2">
        <v>45697</v>
      </c>
      <c r="G991" s="2">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2">
        <v>45697</v>
      </c>
      <c r="G992" s="2">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2">
        <v>45697</v>
      </c>
      <c r="G993" s="2">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2">
        <v>45697</v>
      </c>
      <c r="G994" s="2">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2">
        <v>45697</v>
      </c>
      <c r="G995" s="2">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2">
        <v>45697</v>
      </c>
      <c r="G996" s="2">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2">
        <v>45697</v>
      </c>
      <c r="G997" s="2">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2">
        <v>45697</v>
      </c>
      <c r="G998" s="2">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2">
        <v>45697</v>
      </c>
      <c r="G999" s="2">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2">
        <v>45697</v>
      </c>
      <c r="G1000" s="2">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2">
        <v>45697</v>
      </c>
      <c r="G1001" s="2">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2">
        <v>45697</v>
      </c>
      <c r="G1002" s="2">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2">
        <v>45697</v>
      </c>
      <c r="G1003" s="2">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2">
        <v>45697</v>
      </c>
      <c r="G1004" s="2">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2">
        <v>45697</v>
      </c>
      <c r="G1005" s="2">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2">
        <v>45697</v>
      </c>
      <c r="G1006" s="2">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2">
        <v>45697</v>
      </c>
      <c r="G1007" s="2">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2">
        <v>45697</v>
      </c>
      <c r="G1008" s="2">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2">
        <v>45697</v>
      </c>
      <c r="G1009" s="2">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2">
        <v>45697</v>
      </c>
      <c r="G1010" s="2">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2">
        <v>45697</v>
      </c>
      <c r="G1011" s="2">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2">
        <v>45697</v>
      </c>
      <c r="G1012" s="2">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2">
        <v>45697</v>
      </c>
      <c r="G1013" s="2">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2">
        <v>45697</v>
      </c>
      <c r="G1014" s="2">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2">
        <v>45697</v>
      </c>
      <c r="G1015" s="2">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2">
        <v>45697</v>
      </c>
      <c r="G1016" s="2">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2">
        <v>45697</v>
      </c>
      <c r="G1017" s="2">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2">
        <v>45697</v>
      </c>
      <c r="G1018" s="2">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2">
        <v>45697</v>
      </c>
      <c r="G1019" s="2">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2">
        <v>45697</v>
      </c>
      <c r="G1020" s="2">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2">
        <v>45697</v>
      </c>
      <c r="G1021" s="2">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2">
        <v>45698</v>
      </c>
      <c r="G1022" s="2">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2">
        <v>45698</v>
      </c>
      <c r="G1023" s="2">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2">
        <v>45698</v>
      </c>
      <c r="G1024" s="2">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2">
        <v>45698</v>
      </c>
      <c r="G1025" s="2">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2">
        <v>45698</v>
      </c>
      <c r="G1026" s="2">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2">
        <v>45698</v>
      </c>
      <c r="G1027" s="2">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2">
        <v>45698</v>
      </c>
      <c r="G1028" s="2">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2">
        <v>45698</v>
      </c>
      <c r="G1029" s="2">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2">
        <v>45698</v>
      </c>
      <c r="G1030" s="2">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2">
        <v>45698</v>
      </c>
      <c r="G1031" s="2">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2">
        <v>45698</v>
      </c>
      <c r="G1032" s="2">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2">
        <v>45698</v>
      </c>
      <c r="G1033" s="2">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2">
        <v>45698</v>
      </c>
      <c r="G1034" s="2">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2">
        <v>45698</v>
      </c>
      <c r="G1035" s="2">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2">
        <v>45698</v>
      </c>
      <c r="G1036" s="2">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2">
        <v>45698</v>
      </c>
      <c r="G1037" s="2">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2">
        <v>45698</v>
      </c>
      <c r="G1038" s="2">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2">
        <v>45698</v>
      </c>
      <c r="G1039" s="2">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2">
        <v>45698</v>
      </c>
      <c r="G1040" s="2">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2">
        <v>45698</v>
      </c>
      <c r="G1041" s="2">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2">
        <v>45698</v>
      </c>
      <c r="G1042" s="2">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2">
        <v>45698</v>
      </c>
      <c r="G1043" s="2">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2">
        <v>45698</v>
      </c>
      <c r="G1044" s="2">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2">
        <v>45698</v>
      </c>
      <c r="G1045" s="2">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2">
        <v>45698</v>
      </c>
      <c r="G1046" s="2">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2">
        <v>45698</v>
      </c>
      <c r="G1047" s="2">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2">
        <v>45698</v>
      </c>
      <c r="G1048" s="2">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2">
        <v>45698</v>
      </c>
      <c r="G1049" s="2">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2">
        <v>45699</v>
      </c>
      <c r="G1050" s="2">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2">
        <v>45699</v>
      </c>
      <c r="G1051" s="2">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2">
        <v>45699</v>
      </c>
      <c r="G1052" s="2">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2">
        <v>45699</v>
      </c>
      <c r="G1053" s="2">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2">
        <v>45699</v>
      </c>
      <c r="G1054" s="2">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2">
        <v>45699</v>
      </c>
      <c r="G1055" s="2">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2">
        <v>45699</v>
      </c>
      <c r="G1056" s="2">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2">
        <v>45699</v>
      </c>
      <c r="G1057" s="2">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2">
        <v>45699</v>
      </c>
      <c r="G1058" s="2">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2">
        <v>45699</v>
      </c>
      <c r="G1059" s="2">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2">
        <v>45699</v>
      </c>
      <c r="G1060" s="2">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2">
        <v>45699</v>
      </c>
      <c r="G1061" s="2">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2">
        <v>45699</v>
      </c>
      <c r="G1062" s="2">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2">
        <v>45699</v>
      </c>
      <c r="G1063" s="2">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2">
        <v>45699</v>
      </c>
      <c r="G1064" s="2">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2">
        <v>45699</v>
      </c>
      <c r="G1065" s="2">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2">
        <v>45699</v>
      </c>
      <c r="G1066" s="2">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2">
        <v>45699</v>
      </c>
      <c r="G1067" s="2">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2">
        <v>45699</v>
      </c>
      <c r="G1068" s="2">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2">
        <v>45699</v>
      </c>
      <c r="G1069" s="2">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2">
        <v>45699</v>
      </c>
      <c r="G1070" s="2">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2">
        <v>45699</v>
      </c>
      <c r="G1071" s="2">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2">
        <v>45699</v>
      </c>
      <c r="G1072" s="2">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2">
        <v>45699</v>
      </c>
      <c r="G1073" s="2">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2">
        <v>45699</v>
      </c>
      <c r="G1074" s="2">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2">
        <v>45699</v>
      </c>
      <c r="G1075" s="2">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2">
        <v>45700</v>
      </c>
      <c r="G1076" s="2">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2">
        <v>45700</v>
      </c>
      <c r="G1077" s="2">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2">
        <v>45700</v>
      </c>
      <c r="G1078" s="2">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2">
        <v>45700</v>
      </c>
      <c r="G1079" s="2">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2">
        <v>45700</v>
      </c>
      <c r="G1080" s="2">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2">
        <v>45700</v>
      </c>
      <c r="G1081" s="2">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2">
        <v>45700</v>
      </c>
      <c r="G1082" s="2">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2">
        <v>45700</v>
      </c>
      <c r="G1083" s="2">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2">
        <v>45700</v>
      </c>
      <c r="G1084" s="2">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2">
        <v>45700</v>
      </c>
      <c r="G1085" s="2">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2">
        <v>45700</v>
      </c>
      <c r="G1086" s="2">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2">
        <v>45700</v>
      </c>
      <c r="G1087" s="2">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2">
        <v>45700</v>
      </c>
      <c r="G1088" s="2">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2">
        <v>45700</v>
      </c>
      <c r="G1089" s="2">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2">
        <v>45700</v>
      </c>
      <c r="G1090" s="2">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2">
        <v>45700</v>
      </c>
      <c r="G1091" s="2">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2">
        <v>45700</v>
      </c>
      <c r="G1092" s="2">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2">
        <v>45700</v>
      </c>
      <c r="G1093" s="2">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2">
        <v>45700</v>
      </c>
      <c r="G1094" s="2">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2">
        <v>45700</v>
      </c>
      <c r="G1095" s="2">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2">
        <v>45700</v>
      </c>
      <c r="G1096" s="2">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2">
        <v>45700</v>
      </c>
      <c r="G1097" s="2">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2">
        <v>45700</v>
      </c>
      <c r="G1098" s="2">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2">
        <v>45701</v>
      </c>
      <c r="G1099" s="2">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2">
        <v>45701</v>
      </c>
      <c r="G1100" s="2">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2">
        <v>45701</v>
      </c>
      <c r="G1101" s="2">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2">
        <v>45701</v>
      </c>
      <c r="G1102" s="2">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2">
        <v>45701</v>
      </c>
      <c r="G1103" s="2">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2">
        <v>45701</v>
      </c>
      <c r="G1104" s="2">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2">
        <v>45701</v>
      </c>
      <c r="G1105" s="2">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2">
        <v>45701</v>
      </c>
      <c r="G1106" s="2">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2">
        <v>45701</v>
      </c>
      <c r="G1107" s="2">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2">
        <v>45701</v>
      </c>
      <c r="G1108" s="2">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2">
        <v>45701</v>
      </c>
      <c r="G1109" s="2">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2">
        <v>45701</v>
      </c>
      <c r="G1110" s="2">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2">
        <v>45701</v>
      </c>
      <c r="G1111" s="2">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2">
        <v>45701</v>
      </c>
      <c r="G1112" s="2">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2">
        <v>45701</v>
      </c>
      <c r="G1113" s="2">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2">
        <v>45701</v>
      </c>
      <c r="G1114" s="2">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2">
        <v>45701</v>
      </c>
      <c r="G1115" s="2">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2">
        <v>45701</v>
      </c>
      <c r="G1116" s="2">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2">
        <v>45701</v>
      </c>
      <c r="G1117" s="2">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2">
        <v>45701</v>
      </c>
      <c r="G1118" s="2">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2">
        <v>45701</v>
      </c>
      <c r="G1119" s="2">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2">
        <v>45701</v>
      </c>
      <c r="G1120" s="2">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2">
        <v>45701</v>
      </c>
      <c r="G1121" s="2">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2">
        <v>45702</v>
      </c>
      <c r="G1122" s="2">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2">
        <v>45702</v>
      </c>
      <c r="G1123" s="2">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2">
        <v>45702</v>
      </c>
      <c r="G1124" s="2">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2">
        <v>45702</v>
      </c>
      <c r="G1125" s="2">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2">
        <v>45702</v>
      </c>
      <c r="G1126" s="2">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2">
        <v>45702</v>
      </c>
      <c r="G1127" s="2">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2">
        <v>45702</v>
      </c>
      <c r="G1128" s="2">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2">
        <v>45702</v>
      </c>
      <c r="G1129" s="2">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2">
        <v>45702</v>
      </c>
      <c r="G1130" s="2">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2">
        <v>45702</v>
      </c>
      <c r="G1131" s="2">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2">
        <v>45702</v>
      </c>
      <c r="G1132" s="2">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2">
        <v>45702</v>
      </c>
      <c r="G1133" s="2">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2">
        <v>45702</v>
      </c>
      <c r="G1134" s="2">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2">
        <v>45702</v>
      </c>
      <c r="G1135" s="2">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2">
        <v>45702</v>
      </c>
      <c r="G1136" s="2">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2">
        <v>45702</v>
      </c>
      <c r="G1137" s="2">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2">
        <v>45702</v>
      </c>
      <c r="G1138" s="2">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2">
        <v>45702</v>
      </c>
      <c r="G1139" s="2">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2">
        <v>45702</v>
      </c>
      <c r="G1140" s="2">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2">
        <v>45702</v>
      </c>
      <c r="G1141" s="2">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2">
        <v>45702</v>
      </c>
      <c r="G1142" s="2">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2">
        <v>45702</v>
      </c>
      <c r="G1143" s="2">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2">
        <v>45702</v>
      </c>
      <c r="G1144" s="2">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2">
        <v>45702</v>
      </c>
      <c r="G1145" s="2">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2">
        <v>45702</v>
      </c>
      <c r="G1146" s="2">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2">
        <v>45702</v>
      </c>
      <c r="G1147" s="2">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2">
        <v>45702</v>
      </c>
      <c r="G1148" s="2">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2">
        <v>45702</v>
      </c>
      <c r="G1149" s="2">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2">
        <v>45703</v>
      </c>
      <c r="G1150" s="2">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2">
        <v>45703</v>
      </c>
      <c r="G1151" s="2">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2">
        <v>45703</v>
      </c>
      <c r="G1152" s="2">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2">
        <v>45703</v>
      </c>
      <c r="G1153" s="2">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2">
        <v>45703</v>
      </c>
      <c r="G1154" s="2">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2">
        <v>45703</v>
      </c>
      <c r="G1155" s="2">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2">
        <v>45703</v>
      </c>
      <c r="G1156" s="2">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2">
        <v>45703</v>
      </c>
      <c r="G1157" s="2">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2">
        <v>45703</v>
      </c>
      <c r="G1158" s="2">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2">
        <v>45703</v>
      </c>
      <c r="G1159" s="2">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2">
        <v>45703</v>
      </c>
      <c r="G1160" s="2">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2">
        <v>45703</v>
      </c>
      <c r="G1161" s="2">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2">
        <v>45703</v>
      </c>
      <c r="G1162" s="2">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2">
        <v>45703</v>
      </c>
      <c r="G1163" s="2">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2">
        <v>45703</v>
      </c>
      <c r="G1164" s="2">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2">
        <v>45703</v>
      </c>
      <c r="G1165" s="2">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2">
        <v>45703</v>
      </c>
      <c r="G1166" s="2">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2">
        <v>45703</v>
      </c>
      <c r="G1167" s="2">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2">
        <v>45703</v>
      </c>
      <c r="G1168" s="2">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2">
        <v>45703</v>
      </c>
      <c r="G1169" s="2">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2">
        <v>45703</v>
      </c>
      <c r="G1170" s="2">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2">
        <v>45703</v>
      </c>
      <c r="G1171" s="2">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2">
        <v>45703</v>
      </c>
      <c r="G1172" s="2">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2">
        <v>45703</v>
      </c>
      <c r="G1173" s="2">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2">
        <v>45703</v>
      </c>
      <c r="G1174" s="2">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2">
        <v>45703</v>
      </c>
      <c r="G1175" s="2">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2">
        <v>45703</v>
      </c>
      <c r="G1176" s="2">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2">
        <v>45704</v>
      </c>
      <c r="G1177" s="2">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2">
        <v>45704</v>
      </c>
      <c r="G1178" s="2">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2">
        <v>45704</v>
      </c>
      <c r="G1179" s="2">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2">
        <v>45704</v>
      </c>
      <c r="G1180" s="2">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2">
        <v>45704</v>
      </c>
      <c r="G1181" s="2">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2">
        <v>45704</v>
      </c>
      <c r="G1182" s="2">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2">
        <v>45704</v>
      </c>
      <c r="G1183" s="2">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2">
        <v>45704</v>
      </c>
      <c r="G1184" s="2">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2">
        <v>45704</v>
      </c>
      <c r="G1185" s="2">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2">
        <v>45704</v>
      </c>
      <c r="G1186" s="2">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2">
        <v>45704</v>
      </c>
      <c r="G1187" s="2">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2">
        <v>45704</v>
      </c>
      <c r="G1188" s="2">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2">
        <v>45704</v>
      </c>
      <c r="G1189" s="2">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2">
        <v>45704</v>
      </c>
      <c r="G1190" s="2">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2">
        <v>45704</v>
      </c>
      <c r="G1191" s="2">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2">
        <v>45704</v>
      </c>
      <c r="G1192" s="2">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2">
        <v>45704</v>
      </c>
      <c r="G1193" s="2">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2">
        <v>45704</v>
      </c>
      <c r="G1194" s="2">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2">
        <v>45704</v>
      </c>
      <c r="G1195" s="2">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2">
        <v>45705</v>
      </c>
      <c r="G1196" s="2">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2">
        <v>45705</v>
      </c>
      <c r="G1197" s="2">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2">
        <v>45705</v>
      </c>
      <c r="G1198" s="2">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2">
        <v>45705</v>
      </c>
      <c r="G1199" s="2">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2">
        <v>45705</v>
      </c>
      <c r="G1200" s="2">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2">
        <v>45705</v>
      </c>
      <c r="G1201" s="2">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2">
        <v>45705</v>
      </c>
      <c r="G1202" s="2">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2">
        <v>45705</v>
      </c>
      <c r="G1203" s="2">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2">
        <v>45705</v>
      </c>
      <c r="G1204" s="2">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2">
        <v>45705</v>
      </c>
      <c r="G1205" s="2">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2">
        <v>45705</v>
      </c>
      <c r="G1206" s="2">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2">
        <v>45705</v>
      </c>
      <c r="G1207" s="2">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2">
        <v>45705</v>
      </c>
      <c r="G1208" s="2">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2">
        <v>45705</v>
      </c>
      <c r="G1209" s="2">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2">
        <v>45705</v>
      </c>
      <c r="G1210" s="2">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2">
        <v>45705</v>
      </c>
      <c r="G1211" s="2">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2">
        <v>45705</v>
      </c>
      <c r="G1212" s="2">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2">
        <v>45705</v>
      </c>
      <c r="G1213" s="2">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2">
        <v>45705</v>
      </c>
      <c r="G1214" s="2">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2">
        <v>45705</v>
      </c>
      <c r="G1215" s="2">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2">
        <v>45705</v>
      </c>
      <c r="G1216" s="2">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2">
        <v>45705</v>
      </c>
      <c r="G1217" s="2">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2">
        <v>45705</v>
      </c>
      <c r="G1218" s="2">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2">
        <v>45705</v>
      </c>
      <c r="G1219" s="2">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2">
        <v>45705</v>
      </c>
      <c r="G1220" s="2">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2">
        <v>45705</v>
      </c>
      <c r="G1221" s="2">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2">
        <v>45705</v>
      </c>
      <c r="G1222" s="2">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2">
        <v>45705</v>
      </c>
      <c r="G1223" s="2">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2">
        <v>45705</v>
      </c>
      <c r="G1224" s="2">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2">
        <v>45706</v>
      </c>
      <c r="G1225" s="2">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2">
        <v>45706</v>
      </c>
      <c r="G1226" s="2">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2">
        <v>45706</v>
      </c>
      <c r="G1227" s="2">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2">
        <v>45706</v>
      </c>
      <c r="G1228" s="2">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2">
        <v>45706</v>
      </c>
      <c r="G1229" s="2">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2">
        <v>45706</v>
      </c>
      <c r="G1230" s="2">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2">
        <v>45706</v>
      </c>
      <c r="G1231" s="2">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2">
        <v>45706</v>
      </c>
      <c r="G1232" s="2">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2">
        <v>45706</v>
      </c>
      <c r="G1233" s="2">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2">
        <v>45706</v>
      </c>
      <c r="G1234" s="2">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2">
        <v>45706</v>
      </c>
      <c r="G1235" s="2">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2">
        <v>45706</v>
      </c>
      <c r="G1236" s="2">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2">
        <v>45706</v>
      </c>
      <c r="G1237" s="2">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2">
        <v>45706</v>
      </c>
      <c r="G1238" s="2">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2">
        <v>45706</v>
      </c>
      <c r="G1239" s="2">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2">
        <v>45706</v>
      </c>
      <c r="G1240" s="2">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2">
        <v>45706</v>
      </c>
      <c r="G1241" s="2">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2">
        <v>45706</v>
      </c>
      <c r="G1242" s="2">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2">
        <v>45706</v>
      </c>
      <c r="G1243" s="2">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2">
        <v>45706</v>
      </c>
      <c r="G1244" s="2">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2">
        <v>45706</v>
      </c>
      <c r="G1245" s="2">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2">
        <v>45706</v>
      </c>
      <c r="G1246" s="2">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2">
        <v>45706</v>
      </c>
      <c r="G1247" s="2">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2">
        <v>45706</v>
      </c>
      <c r="G1248" s="2">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2">
        <v>45706</v>
      </c>
      <c r="G1249" s="2">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2">
        <v>45706</v>
      </c>
      <c r="G1250" s="2">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2">
        <v>45706</v>
      </c>
      <c r="G1251" s="2">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2">
        <v>45706</v>
      </c>
      <c r="G1252" s="2">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2">
        <v>45706</v>
      </c>
      <c r="G1253" s="2">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2">
        <v>45706</v>
      </c>
      <c r="G1254" s="2">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2">
        <v>45706</v>
      </c>
      <c r="G1255" s="2">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2">
        <v>45706</v>
      </c>
      <c r="G1256" s="2">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2">
        <v>45706</v>
      </c>
      <c r="G1257" s="2">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2">
        <v>45706</v>
      </c>
      <c r="G1258" s="2">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2">
        <v>45706</v>
      </c>
      <c r="G1259" s="2">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2">
        <v>45706</v>
      </c>
      <c r="G1260" s="2">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2">
        <v>45706</v>
      </c>
      <c r="G1261" s="2">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2">
        <v>45706</v>
      </c>
      <c r="G1262" s="2">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2">
        <v>45706</v>
      </c>
      <c r="G1263" s="2">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2">
        <v>45706</v>
      </c>
      <c r="G1264" s="2">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2">
        <v>45706</v>
      </c>
      <c r="G1265" s="2">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2">
        <v>45706</v>
      </c>
      <c r="G1266" s="2">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2">
        <v>45706</v>
      </c>
      <c r="G1267" s="2">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2">
        <v>45706</v>
      </c>
      <c r="G1268" s="2">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2">
        <v>45706</v>
      </c>
      <c r="G1269" s="2">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2">
        <v>45706</v>
      </c>
      <c r="G1270" s="2">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2">
        <v>45706</v>
      </c>
      <c r="G1271" s="2">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2">
        <v>45706</v>
      </c>
      <c r="G1272" s="2">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2">
        <v>45706</v>
      </c>
      <c r="G1273" s="2">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2">
        <v>45706</v>
      </c>
      <c r="G1274" s="2">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2">
        <v>45706</v>
      </c>
      <c r="G1275" s="2">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2">
        <v>45706</v>
      </c>
      <c r="G1276" s="2">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2">
        <v>45706</v>
      </c>
      <c r="G1277" s="2">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2">
        <v>45706</v>
      </c>
      <c r="G1278" s="2">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2">
        <v>45706</v>
      </c>
      <c r="G1279" s="2">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2">
        <v>45706</v>
      </c>
      <c r="G1280" s="2">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2">
        <v>45706</v>
      </c>
      <c r="G1281" s="2">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2">
        <v>45706</v>
      </c>
      <c r="G1282" s="2">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2">
        <v>45706</v>
      </c>
      <c r="G1283" s="2">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2">
        <v>45706</v>
      </c>
      <c r="G1284" s="2">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2">
        <v>45706</v>
      </c>
      <c r="G1285" s="2">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2">
        <v>45706</v>
      </c>
      <c r="G1286" s="2">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2">
        <v>45706</v>
      </c>
      <c r="G1287" s="2">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2">
        <v>45707</v>
      </c>
      <c r="G1288" s="2">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2">
        <v>45707</v>
      </c>
      <c r="G1289" s="2">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2">
        <v>45707</v>
      </c>
      <c r="G1290" s="2">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2">
        <v>45707</v>
      </c>
      <c r="G1291" s="2">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2">
        <v>45707</v>
      </c>
      <c r="G1292" s="2">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2">
        <v>45707</v>
      </c>
      <c r="G1293" s="2">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2">
        <v>45707</v>
      </c>
      <c r="G1294" s="2">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2">
        <v>45707</v>
      </c>
      <c r="G1295" s="2">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2">
        <v>45707</v>
      </c>
      <c r="G1296" s="2">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2">
        <v>45707</v>
      </c>
      <c r="G1297" s="2">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2">
        <v>45707</v>
      </c>
      <c r="G1298" s="2">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2">
        <v>45707</v>
      </c>
      <c r="G1299" s="2">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2">
        <v>45707</v>
      </c>
      <c r="G1300" s="2">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2">
        <v>45707</v>
      </c>
      <c r="G1301" s="2">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2">
        <v>45707</v>
      </c>
      <c r="G1302" s="2">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2">
        <v>45707</v>
      </c>
      <c r="G1303" s="2">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2">
        <v>45707</v>
      </c>
      <c r="G1304" s="2">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2">
        <v>45707</v>
      </c>
      <c r="G1305" s="2">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2">
        <v>45707</v>
      </c>
      <c r="G1306" s="2">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2">
        <v>45707</v>
      </c>
      <c r="G1307" s="2">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2">
        <v>45707</v>
      </c>
      <c r="G1308" s="2">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2">
        <v>45707</v>
      </c>
      <c r="G1309" s="2">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2">
        <v>45707</v>
      </c>
      <c r="G1310" s="2">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2">
        <v>45707</v>
      </c>
      <c r="G1311" s="2">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2">
        <v>45707</v>
      </c>
      <c r="G1312" s="2">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2">
        <v>45707</v>
      </c>
      <c r="G1313" s="2">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2">
        <v>45707</v>
      </c>
      <c r="G1314" s="2">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2">
        <v>45707</v>
      </c>
      <c r="G1315" s="2">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2">
        <v>45707</v>
      </c>
      <c r="G1316" s="2">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2">
        <v>45707</v>
      </c>
      <c r="G1317" s="2">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2">
        <v>45707</v>
      </c>
      <c r="G1318" s="2">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2">
        <v>45708</v>
      </c>
      <c r="G1319" s="2">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2">
        <v>45708</v>
      </c>
      <c r="G1320" s="2">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2">
        <v>45708</v>
      </c>
      <c r="G1321" s="2">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2">
        <v>45708</v>
      </c>
      <c r="G1322" s="2">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2">
        <v>45708</v>
      </c>
      <c r="G1323" s="2">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2">
        <v>45708</v>
      </c>
      <c r="G1324" s="2">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2">
        <v>45708</v>
      </c>
      <c r="G1325" s="2">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2">
        <v>45708</v>
      </c>
      <c r="G1326" s="2">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2">
        <v>45708</v>
      </c>
      <c r="G1327" s="2">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2">
        <v>45708</v>
      </c>
      <c r="G1328" s="2">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2">
        <v>45708</v>
      </c>
      <c r="G1329" s="2">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2">
        <v>45708</v>
      </c>
      <c r="G1330" s="2">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2">
        <v>45708</v>
      </c>
      <c r="G1331" s="2">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2">
        <v>45708</v>
      </c>
      <c r="G1332" s="2">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2">
        <v>45708</v>
      </c>
      <c r="G1333" s="2">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2">
        <v>45708</v>
      </c>
      <c r="G1334" s="2">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2">
        <v>45708</v>
      </c>
      <c r="G1335" s="2">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2">
        <v>45708</v>
      </c>
      <c r="G1336" s="2">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2">
        <v>45708</v>
      </c>
      <c r="G1337" s="2">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2">
        <v>45708</v>
      </c>
      <c r="G1338" s="2">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2">
        <v>45708</v>
      </c>
      <c r="G1339" s="2">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2">
        <v>45708</v>
      </c>
      <c r="G1340" s="2">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2">
        <v>45708</v>
      </c>
      <c r="G1341" s="2">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2">
        <v>45708</v>
      </c>
      <c r="G1342" s="2">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2">
        <v>45708</v>
      </c>
      <c r="G1343" s="2">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2">
        <v>45708</v>
      </c>
      <c r="G1344" s="2">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2">
        <v>45708</v>
      </c>
      <c r="G1345" s="2">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2">
        <v>45708</v>
      </c>
      <c r="G1346" s="2">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2">
        <v>45708</v>
      </c>
      <c r="G1347" s="2">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2">
        <v>45708</v>
      </c>
      <c r="G1348" s="2">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2">
        <v>45708</v>
      </c>
      <c r="G1349" s="2">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2">
        <v>45708</v>
      </c>
      <c r="G1350" s="2">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2">
        <v>45709</v>
      </c>
      <c r="G1351" s="2">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2">
        <v>45709</v>
      </c>
      <c r="G1352" s="2">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2">
        <v>45709</v>
      </c>
      <c r="G1353" s="2">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2">
        <v>45709</v>
      </c>
      <c r="G1354" s="2">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2">
        <v>45709</v>
      </c>
      <c r="G1355" s="2">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2">
        <v>45709</v>
      </c>
      <c r="G1356" s="2">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2">
        <v>45709</v>
      </c>
      <c r="G1357" s="2">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2">
        <v>45709</v>
      </c>
      <c r="G1358" s="2">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2">
        <v>45709</v>
      </c>
      <c r="G1359" s="2">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2">
        <v>45709</v>
      </c>
      <c r="G1360" s="2">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2">
        <v>45709</v>
      </c>
      <c r="G1361" s="2">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2">
        <v>45709</v>
      </c>
      <c r="G1362" s="2">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2">
        <v>45709</v>
      </c>
      <c r="G1363" s="2">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2">
        <v>45709</v>
      </c>
      <c r="G1364" s="2">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2">
        <v>45709</v>
      </c>
      <c r="G1365" s="2">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2">
        <v>45709</v>
      </c>
      <c r="G1366" s="2">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2">
        <v>45709</v>
      </c>
      <c r="G1367" s="2">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2">
        <v>45709</v>
      </c>
      <c r="G1368" s="2">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2">
        <v>45709</v>
      </c>
      <c r="G1369" s="2">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2">
        <v>45709</v>
      </c>
      <c r="G1370" s="2">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2">
        <v>45709</v>
      </c>
      <c r="G1371" s="2">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2">
        <v>45709</v>
      </c>
      <c r="G1372" s="2">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2">
        <v>45709</v>
      </c>
      <c r="G1373" s="2">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2">
        <v>45709</v>
      </c>
      <c r="G1374" s="2">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2">
        <v>45709</v>
      </c>
      <c r="G1375" s="2">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2">
        <v>45709</v>
      </c>
      <c r="G1376" s="2">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2">
        <v>45709</v>
      </c>
      <c r="G1377" s="2">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2">
        <v>45709</v>
      </c>
      <c r="G1378" s="2">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2">
        <v>45709</v>
      </c>
      <c r="G1379" s="2">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2">
        <v>45709</v>
      </c>
      <c r="G1380" s="2">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2">
        <v>45709</v>
      </c>
      <c r="G1381" s="2">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2">
        <v>45709</v>
      </c>
      <c r="G1382" s="2">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2">
        <v>45709</v>
      </c>
      <c r="G1383" s="2">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2">
        <v>45709</v>
      </c>
      <c r="G1384" s="2">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2">
        <v>45709</v>
      </c>
      <c r="G1385" s="2">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2">
        <v>45709</v>
      </c>
      <c r="G1386" s="2">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2">
        <v>45709</v>
      </c>
      <c r="G1387" s="2">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2">
        <v>45709</v>
      </c>
      <c r="G1388" s="2">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2">
        <v>45710</v>
      </c>
      <c r="G1389" s="2">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2">
        <v>45710</v>
      </c>
      <c r="G1390" s="2">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2">
        <v>45710</v>
      </c>
      <c r="G1391" s="2">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2">
        <v>45710</v>
      </c>
      <c r="G1392" s="2">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2">
        <v>45710</v>
      </c>
      <c r="G1393" s="2">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2">
        <v>45710</v>
      </c>
      <c r="G1394" s="2">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2">
        <v>45710</v>
      </c>
      <c r="G1395" s="2">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2">
        <v>45710</v>
      </c>
      <c r="G1396" s="2">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2">
        <v>45710</v>
      </c>
      <c r="G1397" s="2">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2">
        <v>45710</v>
      </c>
      <c r="G1398" s="2">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2">
        <v>45710</v>
      </c>
      <c r="G1399" s="2">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2">
        <v>45710</v>
      </c>
      <c r="G1400" s="2">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2">
        <v>45710</v>
      </c>
      <c r="G1401" s="2">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2">
        <v>45710</v>
      </c>
      <c r="G1402" s="2">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2">
        <v>45710</v>
      </c>
      <c r="G1403" s="2">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2">
        <v>45710</v>
      </c>
      <c r="G1404" s="2">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2">
        <v>45710</v>
      </c>
      <c r="G1405" s="2">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2">
        <v>45710</v>
      </c>
      <c r="G1406" s="2">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2">
        <v>45710</v>
      </c>
      <c r="G1407" s="2">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2">
        <v>45710</v>
      </c>
      <c r="G1408" s="2">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2">
        <v>45710</v>
      </c>
      <c r="G1409" s="2">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2">
        <v>45710</v>
      </c>
      <c r="G1410" s="2">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2">
        <v>45710</v>
      </c>
      <c r="G1411" s="2">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2">
        <v>45710</v>
      </c>
      <c r="G1412" s="2">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2">
        <v>45711</v>
      </c>
      <c r="G1413" s="2">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2">
        <v>45711</v>
      </c>
      <c r="G1414" s="2">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2">
        <v>45711</v>
      </c>
      <c r="G1415" s="2">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2">
        <v>45711</v>
      </c>
      <c r="G1416" s="2">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2">
        <v>45711</v>
      </c>
      <c r="G1417" s="2">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2">
        <v>45711</v>
      </c>
      <c r="G1418" s="2">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2">
        <v>45711</v>
      </c>
      <c r="G1419" s="2">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2">
        <v>45711</v>
      </c>
      <c r="G1420" s="2">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2">
        <v>45711</v>
      </c>
      <c r="G1421" s="2">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2">
        <v>45711</v>
      </c>
      <c r="G1422" s="2">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2">
        <v>45711</v>
      </c>
      <c r="G1423" s="2">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2">
        <v>45711</v>
      </c>
      <c r="G1424" s="2">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2">
        <v>45711</v>
      </c>
      <c r="G1425" s="2">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2">
        <v>45711</v>
      </c>
      <c r="G1426" s="2">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2">
        <v>45711</v>
      </c>
      <c r="G1427" s="2">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2">
        <v>45711</v>
      </c>
      <c r="G1428" s="2">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2">
        <v>45711</v>
      </c>
      <c r="G1429" s="2">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2">
        <v>45711</v>
      </c>
      <c r="G1430" s="2">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2">
        <v>45711</v>
      </c>
      <c r="G1431" s="2">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2">
        <v>45711</v>
      </c>
      <c r="G1432" s="2">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2">
        <v>45711</v>
      </c>
      <c r="G1433" s="2">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2">
        <v>45711</v>
      </c>
      <c r="G1434" s="2">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2">
        <v>45711</v>
      </c>
      <c r="G1435" s="2">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2">
        <v>45711</v>
      </c>
      <c r="G1436" s="2">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2">
        <v>45711</v>
      </c>
      <c r="G1437" s="2">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2">
        <v>45711</v>
      </c>
      <c r="G1438" s="2">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2">
        <v>45711</v>
      </c>
      <c r="G1439" s="2">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2">
        <v>45711</v>
      </c>
      <c r="G1440" s="2">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2">
        <v>45711</v>
      </c>
      <c r="G1441" s="2">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2">
        <v>45711</v>
      </c>
      <c r="G1442" s="2">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2">
        <v>45711</v>
      </c>
      <c r="G1443" s="2">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2">
        <v>45711</v>
      </c>
      <c r="G1444" s="2">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2">
        <v>45711</v>
      </c>
      <c r="G1445" s="2">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2">
        <v>45711</v>
      </c>
      <c r="G1446" s="2">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2">
        <v>45711</v>
      </c>
      <c r="G1447" s="2">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2">
        <v>45711</v>
      </c>
      <c r="G1448" s="2">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2">
        <v>45711</v>
      </c>
      <c r="G1449" s="2">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2">
        <v>45712</v>
      </c>
      <c r="G1450" s="2">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2">
        <v>45712</v>
      </c>
      <c r="G1451" s="2">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2">
        <v>45712</v>
      </c>
      <c r="G1452" s="2">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2">
        <v>45712</v>
      </c>
      <c r="G1453" s="2">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2">
        <v>45712</v>
      </c>
      <c r="G1454" s="2">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2">
        <v>45712</v>
      </c>
      <c r="G1455" s="2">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2">
        <v>45712</v>
      </c>
      <c r="G1456" s="2">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2">
        <v>45712</v>
      </c>
      <c r="G1457" s="2">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2">
        <v>45712</v>
      </c>
      <c r="G1458" s="2">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2">
        <v>45712</v>
      </c>
      <c r="G1459" s="2">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2">
        <v>45712</v>
      </c>
      <c r="G1460" s="2">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2">
        <v>45712</v>
      </c>
      <c r="G1461" s="2">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2">
        <v>45712</v>
      </c>
      <c r="G1462" s="2">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2">
        <v>45712</v>
      </c>
      <c r="G1463" s="2">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2">
        <v>45712</v>
      </c>
      <c r="G1464" s="2">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2">
        <v>45712</v>
      </c>
      <c r="G1465" s="2">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2">
        <v>45712</v>
      </c>
      <c r="G1466" s="2">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2">
        <v>45712</v>
      </c>
      <c r="G1467" s="2">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2">
        <v>45712</v>
      </c>
      <c r="G1468" s="2">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2">
        <v>45712</v>
      </c>
      <c r="G1469" s="2">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2">
        <v>45712</v>
      </c>
      <c r="G1470" s="2">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2">
        <v>45712</v>
      </c>
      <c r="G1471" s="2">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2">
        <v>45712</v>
      </c>
      <c r="G1472" s="2">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2">
        <v>45712</v>
      </c>
      <c r="G1473" s="2">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2">
        <v>45712</v>
      </c>
      <c r="G1474" s="2">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2">
        <v>45712</v>
      </c>
      <c r="G1475" s="2">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2">
        <v>45712</v>
      </c>
      <c r="G1476" s="2">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2">
        <v>45712</v>
      </c>
      <c r="G1477" s="2">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2">
        <v>45712</v>
      </c>
      <c r="G1478" s="2">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2">
        <v>45713</v>
      </c>
      <c r="G1479" s="2">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2">
        <v>45713</v>
      </c>
      <c r="G1480" s="2">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2">
        <v>45713</v>
      </c>
      <c r="G1481" s="2">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2">
        <v>45713</v>
      </c>
      <c r="G1482" s="2">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2">
        <v>45713</v>
      </c>
      <c r="G1483" s="2">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2">
        <v>45713</v>
      </c>
      <c r="G1484" s="2">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2">
        <v>45713</v>
      </c>
      <c r="G1485" s="2">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2">
        <v>45713</v>
      </c>
      <c r="G1486" s="2">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2">
        <v>45713</v>
      </c>
      <c r="G1487" s="2">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2">
        <v>45713</v>
      </c>
      <c r="G1488" s="2">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2">
        <v>45713</v>
      </c>
      <c r="G1489" s="2">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2">
        <v>45713</v>
      </c>
      <c r="G1490" s="2">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2">
        <v>45713</v>
      </c>
      <c r="G1491" s="2">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2">
        <v>45713</v>
      </c>
      <c r="G1492" s="2">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2">
        <v>45713</v>
      </c>
      <c r="G1493" s="2">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2">
        <v>45713</v>
      </c>
      <c r="G1494" s="2">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2">
        <v>45713</v>
      </c>
      <c r="G1495" s="2">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2">
        <v>45713</v>
      </c>
      <c r="G1496" s="2">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2">
        <v>45713</v>
      </c>
      <c r="G1497" s="2">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2">
        <v>45713</v>
      </c>
      <c r="G1498" s="2">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2">
        <v>45713</v>
      </c>
      <c r="G1499" s="2">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2">
        <v>45713</v>
      </c>
      <c r="G1500" s="2">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2">
        <v>45713</v>
      </c>
      <c r="G1501" s="2">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2">
        <v>45713</v>
      </c>
      <c r="G1502" s="2">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2">
        <v>45713</v>
      </c>
      <c r="G1503" s="2">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2">
        <v>45713</v>
      </c>
      <c r="G1504" s="2">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2">
        <v>45713</v>
      </c>
      <c r="G1505" s="2">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2">
        <v>45713</v>
      </c>
      <c r="G1506" s="2">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2">
        <v>45713</v>
      </c>
      <c r="G1507" s="2">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2">
        <v>45713</v>
      </c>
      <c r="G1508" s="2">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2">
        <v>45713</v>
      </c>
      <c r="G1509" s="2">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2">
        <v>45713</v>
      </c>
      <c r="G1510" s="2">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2">
        <v>45713</v>
      </c>
      <c r="G1511" s="2">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2">
        <v>45713</v>
      </c>
      <c r="G1512" s="2">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2">
        <v>45713</v>
      </c>
      <c r="G1513" s="2">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2">
        <v>45714</v>
      </c>
      <c r="G1514" s="2">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2">
        <v>45714</v>
      </c>
      <c r="G1515" s="2">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2">
        <v>45714</v>
      </c>
      <c r="G1516" s="2">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2">
        <v>45714</v>
      </c>
      <c r="G1517" s="2">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2">
        <v>45714</v>
      </c>
      <c r="G1518" s="2">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2">
        <v>45714</v>
      </c>
      <c r="G1519" s="2">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2">
        <v>45714</v>
      </c>
      <c r="G1520" s="2">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2">
        <v>45714</v>
      </c>
      <c r="G1521" s="2">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2">
        <v>45714</v>
      </c>
      <c r="G1522" s="2">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2">
        <v>45714</v>
      </c>
      <c r="G1523" s="2">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2">
        <v>45714</v>
      </c>
      <c r="G1524" s="2">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2">
        <v>45714</v>
      </c>
      <c r="G1525" s="2">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2">
        <v>45714</v>
      </c>
      <c r="G1526" s="2">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2">
        <v>45714</v>
      </c>
      <c r="G1527" s="2">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2">
        <v>45714</v>
      </c>
      <c r="G1528" s="2">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2">
        <v>45714</v>
      </c>
      <c r="G1529" s="2">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2">
        <v>45714</v>
      </c>
      <c r="G1530" s="2">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2">
        <v>45714</v>
      </c>
      <c r="G1531" s="2">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2">
        <v>45714</v>
      </c>
      <c r="G1532" s="2">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2">
        <v>45714</v>
      </c>
      <c r="G1533" s="2">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2">
        <v>45714</v>
      </c>
      <c r="G1534" s="2">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2">
        <v>45714</v>
      </c>
      <c r="G1535" s="2">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2">
        <v>45714</v>
      </c>
      <c r="G1536" s="2">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2">
        <v>45714</v>
      </c>
      <c r="G1537" s="2">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2">
        <v>45714</v>
      </c>
      <c r="G1538" s="2">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2">
        <v>45714</v>
      </c>
      <c r="G1539" s="2">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2">
        <v>45714</v>
      </c>
      <c r="G1540" s="2">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2">
        <v>45714</v>
      </c>
      <c r="G1541" s="2">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2">
        <v>45715</v>
      </c>
      <c r="G1542" s="2">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2">
        <v>45715</v>
      </c>
      <c r="G1543" s="2">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2">
        <v>45715</v>
      </c>
      <c r="G1544" s="2">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2">
        <v>45715</v>
      </c>
      <c r="G1545" s="2">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2">
        <v>45715</v>
      </c>
      <c r="G1546" s="2">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2">
        <v>45715</v>
      </c>
      <c r="G1547" s="2">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2">
        <v>45715</v>
      </c>
      <c r="G1548" s="2">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2">
        <v>45715</v>
      </c>
      <c r="G1549" s="2">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2">
        <v>45715</v>
      </c>
      <c r="G1550" s="2">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2">
        <v>45715</v>
      </c>
      <c r="G1551" s="2">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2">
        <v>45715</v>
      </c>
      <c r="G1552" s="2">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2">
        <v>45715</v>
      </c>
      <c r="G1553" s="2">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2">
        <v>45715</v>
      </c>
      <c r="G1554" s="2">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2">
        <v>45715</v>
      </c>
      <c r="G1555" s="2">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2">
        <v>45715</v>
      </c>
      <c r="G1556" s="2">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2">
        <v>45715</v>
      </c>
      <c r="G1557" s="2">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2">
        <v>45715</v>
      </c>
      <c r="G1558" s="2">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2">
        <v>45715</v>
      </c>
      <c r="G1559" s="2">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2">
        <v>45715</v>
      </c>
      <c r="G1560" s="2">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2">
        <v>45715</v>
      </c>
      <c r="G1561" s="2">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2">
        <v>45715</v>
      </c>
      <c r="G1562" s="2">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2">
        <v>45715</v>
      </c>
      <c r="G1563" s="2">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2">
        <v>45716</v>
      </c>
      <c r="G1564" s="2">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2">
        <v>45716</v>
      </c>
      <c r="G1565" s="2">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2">
        <v>45716</v>
      </c>
      <c r="G1566" s="2">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2">
        <v>45716</v>
      </c>
      <c r="G1567" s="2">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2">
        <v>45716</v>
      </c>
      <c r="G1568" s="2">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2">
        <v>45716</v>
      </c>
      <c r="G1569" s="2">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2">
        <v>45716</v>
      </c>
      <c r="G1570" s="2">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2">
        <v>45716</v>
      </c>
      <c r="G1571" s="2">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2">
        <v>45716</v>
      </c>
      <c r="G1572" s="2">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2">
        <v>45716</v>
      </c>
      <c r="G1573" s="2">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2">
        <v>45716</v>
      </c>
      <c r="G1574" s="2">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2">
        <v>45716</v>
      </c>
      <c r="G1575" s="2">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2">
        <v>45716</v>
      </c>
      <c r="G1576" s="2">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2">
        <v>45716</v>
      </c>
      <c r="G1577" s="2">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2">
        <v>45716</v>
      </c>
      <c r="G1578" s="2">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2">
        <v>45716</v>
      </c>
      <c r="G1579" s="2">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2">
        <v>45716</v>
      </c>
      <c r="G1580" s="2">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2">
        <v>45716</v>
      </c>
      <c r="G1581" s="2">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2">
        <v>45716</v>
      </c>
      <c r="G1582" s="2">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2">
        <v>45716</v>
      </c>
      <c r="G1583" s="2">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2">
        <v>45716</v>
      </c>
      <c r="G1584" s="2">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2">
        <v>45716</v>
      </c>
      <c r="G1585" s="2">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2">
        <v>45716</v>
      </c>
      <c r="G1586" s="2">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2">
        <v>45716</v>
      </c>
      <c r="G1587" s="2">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2">
        <v>45716</v>
      </c>
      <c r="G1588" s="2">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2">
        <v>45716</v>
      </c>
      <c r="G1589" s="2">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2">
        <v>45716</v>
      </c>
      <c r="G1590" s="2">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2">
        <v>45716</v>
      </c>
      <c r="G1591" s="2">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2">
        <v>45716</v>
      </c>
      <c r="G1592" s="2">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2">
        <v>45717</v>
      </c>
      <c r="G1593" s="2">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2">
        <v>45717</v>
      </c>
      <c r="G1594" s="2">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2">
        <v>45717</v>
      </c>
      <c r="G1595" s="2">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2">
        <v>45717</v>
      </c>
      <c r="G1596" s="2">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2">
        <v>45717</v>
      </c>
      <c r="G1597" s="2">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2">
        <v>45717</v>
      </c>
      <c r="G1598" s="2">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2">
        <v>45717</v>
      </c>
      <c r="G1599" s="2">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2">
        <v>45717</v>
      </c>
      <c r="G1600" s="2">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2">
        <v>45717</v>
      </c>
      <c r="G1601" s="2">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2">
        <v>45717</v>
      </c>
      <c r="G1602" s="2">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2">
        <v>45717</v>
      </c>
      <c r="G1603" s="2">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2">
        <v>45717</v>
      </c>
      <c r="G1604" s="2">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2">
        <v>45717</v>
      </c>
      <c r="G1605" s="2">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2">
        <v>45717</v>
      </c>
      <c r="G1606" s="2">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2">
        <v>45717</v>
      </c>
      <c r="G1607" s="2">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2">
        <v>45717</v>
      </c>
      <c r="G1608" s="2">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2">
        <v>45717</v>
      </c>
      <c r="G1609" s="2">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2">
        <v>45717</v>
      </c>
      <c r="G1610" s="2">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2">
        <v>45717</v>
      </c>
      <c r="G1611" s="2">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2">
        <v>45717</v>
      </c>
      <c r="G1612" s="2">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2">
        <v>45717</v>
      </c>
      <c r="G1613" s="2">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2">
        <v>45717</v>
      </c>
      <c r="G1614" s="2">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2">
        <v>45718</v>
      </c>
      <c r="G1615" s="2">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2">
        <v>45718</v>
      </c>
      <c r="G1616" s="2">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2">
        <v>45718</v>
      </c>
      <c r="G1617" s="2">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2">
        <v>45718</v>
      </c>
      <c r="G1618" s="2">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2">
        <v>45718</v>
      </c>
      <c r="G1619" s="2">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2">
        <v>45718</v>
      </c>
      <c r="G1620" s="2">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2">
        <v>45718</v>
      </c>
      <c r="G1621" s="2">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2">
        <v>45718</v>
      </c>
      <c r="G1622" s="2">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2">
        <v>45718</v>
      </c>
      <c r="G1623" s="2">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2">
        <v>45718</v>
      </c>
      <c r="G1624" s="2">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2">
        <v>45718</v>
      </c>
      <c r="G1625" s="2">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2">
        <v>45718</v>
      </c>
      <c r="G1626" s="2">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2">
        <v>45718</v>
      </c>
      <c r="G1627" s="2">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2">
        <v>45718</v>
      </c>
      <c r="G1628" s="2">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2">
        <v>45718</v>
      </c>
      <c r="G1629" s="2">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2">
        <v>45718</v>
      </c>
      <c r="G1630" s="2">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2">
        <v>45718</v>
      </c>
      <c r="G1631" s="2">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2">
        <v>45718</v>
      </c>
      <c r="G1632" s="2">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2">
        <v>45718</v>
      </c>
      <c r="G1633" s="2">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2">
        <v>45718</v>
      </c>
      <c r="G1634" s="2">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2">
        <v>45718</v>
      </c>
      <c r="G1635" s="2">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2">
        <v>45718</v>
      </c>
      <c r="G1636" s="2">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2">
        <v>45718</v>
      </c>
      <c r="G1637" s="2">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2">
        <v>45718</v>
      </c>
      <c r="G1638" s="2">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2">
        <v>45718</v>
      </c>
      <c r="G1639" s="2">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2">
        <v>45718</v>
      </c>
      <c r="G1640" s="2">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2">
        <v>45718</v>
      </c>
      <c r="G1641" s="2">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2">
        <v>45718</v>
      </c>
      <c r="G1642" s="2">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2">
        <v>45719</v>
      </c>
      <c r="G1643" s="2">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2">
        <v>45719</v>
      </c>
      <c r="G1644" s="2">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2">
        <v>45719</v>
      </c>
      <c r="G1645" s="2">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2">
        <v>45719</v>
      </c>
      <c r="G1646" s="2">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2">
        <v>45719</v>
      </c>
      <c r="G1647" s="2">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2">
        <v>45719</v>
      </c>
      <c r="G1648" s="2">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2">
        <v>45719</v>
      </c>
      <c r="G1649" s="2">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2">
        <v>45719</v>
      </c>
      <c r="G1650" s="2">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2">
        <v>45719</v>
      </c>
      <c r="G1651" s="2">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2">
        <v>45719</v>
      </c>
      <c r="G1652" s="2">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2">
        <v>45719</v>
      </c>
      <c r="G1653" s="2">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2">
        <v>45719</v>
      </c>
      <c r="G1654" s="2">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2">
        <v>45719</v>
      </c>
      <c r="G1655" s="2">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2">
        <v>45719</v>
      </c>
      <c r="G1656" s="2">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2">
        <v>45719</v>
      </c>
      <c r="G1657" s="2">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2">
        <v>45719</v>
      </c>
      <c r="G1658" s="2">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2">
        <v>45719</v>
      </c>
      <c r="G1659" s="2">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2">
        <v>45719</v>
      </c>
      <c r="G1660" s="2">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2">
        <v>45719</v>
      </c>
      <c r="G1661" s="2">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2">
        <v>45719</v>
      </c>
      <c r="G1662" s="2">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2">
        <v>45719</v>
      </c>
      <c r="G1663" s="2">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2">
        <v>45719</v>
      </c>
      <c r="G1664" s="2">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2">
        <v>45719</v>
      </c>
      <c r="G1665" s="2">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2">
        <v>45719</v>
      </c>
      <c r="G1666" s="2">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2">
        <v>45719</v>
      </c>
      <c r="G1667" s="2">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2">
        <v>45719</v>
      </c>
      <c r="G1668" s="2">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2">
        <v>45719</v>
      </c>
      <c r="G1669" s="2">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2">
        <v>45719</v>
      </c>
      <c r="G1670" s="2">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2">
        <v>45719</v>
      </c>
      <c r="G1671" s="2">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2">
        <v>45719</v>
      </c>
      <c r="G1672" s="2">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2">
        <v>45719</v>
      </c>
      <c r="G1673" s="2">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2">
        <v>45719</v>
      </c>
      <c r="G1674" s="2">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2">
        <v>45720</v>
      </c>
      <c r="G1675" s="2">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2">
        <v>45720</v>
      </c>
      <c r="G1676" s="2">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2">
        <v>45720</v>
      </c>
      <c r="G1677" s="2">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2">
        <v>45720</v>
      </c>
      <c r="G1678" s="2">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2">
        <v>45720</v>
      </c>
      <c r="G1679" s="2">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2">
        <v>45720</v>
      </c>
      <c r="G1680" s="2">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2">
        <v>45720</v>
      </c>
      <c r="G1681" s="2">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2">
        <v>45720</v>
      </c>
      <c r="G1682" s="2">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2">
        <v>45720</v>
      </c>
      <c r="G1683" s="2">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2">
        <v>45720</v>
      </c>
      <c r="G1684" s="2">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2">
        <v>45720</v>
      </c>
      <c r="G1685" s="2">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2">
        <v>45720</v>
      </c>
      <c r="G1686" s="2">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2">
        <v>45720</v>
      </c>
      <c r="G1687" s="2">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2">
        <v>45720</v>
      </c>
      <c r="G1688" s="2">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2">
        <v>45720</v>
      </c>
      <c r="G1689" s="2">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2">
        <v>45720</v>
      </c>
      <c r="G1690" s="2">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2">
        <v>45720</v>
      </c>
      <c r="G1691" s="2">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2">
        <v>45720</v>
      </c>
      <c r="G1692" s="2">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2">
        <v>45720</v>
      </c>
      <c r="G1693" s="2">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2">
        <v>45720</v>
      </c>
      <c r="G1694" s="2">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2">
        <v>45720</v>
      </c>
      <c r="G1695" s="2">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2">
        <v>45720</v>
      </c>
      <c r="G1696" s="2">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2">
        <v>45720</v>
      </c>
      <c r="G1697" s="2">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2">
        <v>45720</v>
      </c>
      <c r="G1698" s="2">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2">
        <v>45720</v>
      </c>
      <c r="G1699" s="2">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2">
        <v>45720</v>
      </c>
      <c r="G1700" s="2">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2">
        <v>45720</v>
      </c>
      <c r="G1701" s="2">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2">
        <v>45720</v>
      </c>
      <c r="G1702" s="2">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2">
        <v>45720</v>
      </c>
      <c r="G1703" s="2">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2">
        <v>45720</v>
      </c>
      <c r="G1704" s="2">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2">
        <v>45720</v>
      </c>
      <c r="G1705" s="2">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2">
        <v>45720</v>
      </c>
      <c r="G1706" s="2">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2">
        <v>45720</v>
      </c>
      <c r="G1707" s="2">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2">
        <v>45720</v>
      </c>
      <c r="G1708" s="2">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2">
        <v>45720</v>
      </c>
      <c r="G1709" s="2">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2">
        <v>45720</v>
      </c>
      <c r="G1710" s="2">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2">
        <v>45720</v>
      </c>
      <c r="G1711" s="2">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2">
        <v>45720</v>
      </c>
      <c r="G1712" s="2">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2">
        <v>45720</v>
      </c>
      <c r="G1713" s="2">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2">
        <v>45720</v>
      </c>
      <c r="G1714" s="2">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2">
        <v>45720</v>
      </c>
      <c r="G1715" s="2">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2">
        <v>45720</v>
      </c>
      <c r="G1716" s="2">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2">
        <v>45720</v>
      </c>
      <c r="G1717" s="2">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2">
        <v>45720</v>
      </c>
      <c r="G1718" s="2">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2">
        <v>45720</v>
      </c>
      <c r="G1719" s="2">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2">
        <v>45720</v>
      </c>
      <c r="G1720" s="2">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2">
        <v>45720</v>
      </c>
      <c r="G1721" s="2">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2">
        <v>45721</v>
      </c>
      <c r="G1722" s="2">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2">
        <v>45721</v>
      </c>
      <c r="G1723" s="2">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2">
        <v>45721</v>
      </c>
      <c r="G1724" s="2">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2">
        <v>45721</v>
      </c>
      <c r="G1725" s="2">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2">
        <v>45721</v>
      </c>
      <c r="G1726" s="2">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2">
        <v>45721</v>
      </c>
      <c r="G1727" s="2">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2">
        <v>45721</v>
      </c>
      <c r="G1728" s="2">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2">
        <v>45721</v>
      </c>
      <c r="G1729" s="2">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2">
        <v>45721</v>
      </c>
      <c r="G1730" s="2">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2">
        <v>45721</v>
      </c>
      <c r="G1731" s="2">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2">
        <v>45721</v>
      </c>
      <c r="G1732" s="2">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2">
        <v>45721</v>
      </c>
      <c r="G1733" s="2">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2">
        <v>45721</v>
      </c>
      <c r="G1734" s="2">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2">
        <v>45721</v>
      </c>
      <c r="G1735" s="2">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2">
        <v>45721</v>
      </c>
      <c r="G1736" s="2">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2">
        <v>45721</v>
      </c>
      <c r="G1737" s="2">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2">
        <v>45721</v>
      </c>
      <c r="G1738" s="2">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2">
        <v>45721</v>
      </c>
      <c r="G1739" s="2">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2">
        <v>45721</v>
      </c>
      <c r="G1740" s="2">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2">
        <v>45721</v>
      </c>
      <c r="G1741" s="2">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2">
        <v>45721</v>
      </c>
      <c r="G1742" s="2">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2">
        <v>45721</v>
      </c>
      <c r="G1743" s="2">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2">
        <v>45721</v>
      </c>
      <c r="G1744" s="2">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2">
        <v>45721</v>
      </c>
      <c r="G1745" s="2">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2">
        <v>45721</v>
      </c>
      <c r="G1746" s="2">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2">
        <v>45721</v>
      </c>
      <c r="G1747" s="2">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2">
        <v>45721</v>
      </c>
      <c r="G1748" s="2">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2">
        <v>45721</v>
      </c>
      <c r="G1749" s="2">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2">
        <v>45721</v>
      </c>
      <c r="G1750" s="2">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2">
        <v>45721</v>
      </c>
      <c r="G1751" s="2">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2">
        <v>45721</v>
      </c>
      <c r="G1752" s="2">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2">
        <v>45721</v>
      </c>
      <c r="G1753" s="2">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2">
        <v>45721</v>
      </c>
      <c r="G1754" s="2">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2">
        <v>45721</v>
      </c>
      <c r="G1755" s="2">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2">
        <v>45721</v>
      </c>
      <c r="G1756" s="2">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2">
        <v>45722</v>
      </c>
      <c r="G1757" s="2">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2">
        <v>45722</v>
      </c>
      <c r="G1758" s="2">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2">
        <v>45722</v>
      </c>
      <c r="G1759" s="2">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2">
        <v>45722</v>
      </c>
      <c r="G1760" s="2">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2">
        <v>45722</v>
      </c>
      <c r="G1761" s="2">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2">
        <v>45722</v>
      </c>
      <c r="G1762" s="2">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2">
        <v>45722</v>
      </c>
      <c r="G1763" s="2">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2">
        <v>45722</v>
      </c>
      <c r="G1764" s="2">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2">
        <v>45722</v>
      </c>
      <c r="G1765" s="2">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2">
        <v>45722</v>
      </c>
      <c r="G1766" s="2">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2">
        <v>45722</v>
      </c>
      <c r="G1767" s="2">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2">
        <v>45722</v>
      </c>
      <c r="G1768" s="2">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2">
        <v>45722</v>
      </c>
      <c r="G1769" s="2">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2">
        <v>45722</v>
      </c>
      <c r="G1770" s="2">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2">
        <v>45722</v>
      </c>
      <c r="G1771" s="2">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2">
        <v>45722</v>
      </c>
      <c r="G1772" s="2">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2">
        <v>45722</v>
      </c>
      <c r="G1773" s="2">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2">
        <v>45722</v>
      </c>
      <c r="G1774" s="2">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2">
        <v>45722</v>
      </c>
      <c r="G1775" s="2">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2">
        <v>45722</v>
      </c>
      <c r="G1776" s="2">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2">
        <v>45722</v>
      </c>
      <c r="G1777" s="2">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2">
        <v>45722</v>
      </c>
      <c r="G1778" s="2">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2">
        <v>45722</v>
      </c>
      <c r="G1779" s="2">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2">
        <v>45722</v>
      </c>
      <c r="G1780" s="2">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2">
        <v>45722</v>
      </c>
      <c r="G1781" s="2">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2">
        <v>45722</v>
      </c>
      <c r="G1782" s="2">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2">
        <v>45722</v>
      </c>
      <c r="G1783" s="2">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2">
        <v>45722</v>
      </c>
      <c r="G1784" s="2">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2">
        <v>45722</v>
      </c>
      <c r="G1785" s="2">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2">
        <v>45722</v>
      </c>
      <c r="G1786" s="2">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2">
        <v>45722</v>
      </c>
      <c r="G1787" s="2">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2">
        <v>45722</v>
      </c>
      <c r="G1788" s="2">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2">
        <v>45723</v>
      </c>
      <c r="G1789" s="2">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2">
        <v>45723</v>
      </c>
      <c r="G1790" s="2">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2">
        <v>45723</v>
      </c>
      <c r="G1791" s="2">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2">
        <v>45723</v>
      </c>
      <c r="G1792" s="2">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2">
        <v>45723</v>
      </c>
      <c r="G1793" s="2">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2">
        <v>45723</v>
      </c>
      <c r="G1794" s="2">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2">
        <v>45723</v>
      </c>
      <c r="G1795" s="2">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2">
        <v>45723</v>
      </c>
      <c r="G1796" s="2">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2">
        <v>45723</v>
      </c>
      <c r="G1797" s="2">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2">
        <v>45723</v>
      </c>
      <c r="G1798" s="2">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2">
        <v>45723</v>
      </c>
      <c r="G1799" s="2">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2">
        <v>45723</v>
      </c>
      <c r="G1800" s="2">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2">
        <v>45723</v>
      </c>
      <c r="G1801" s="2">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2">
        <v>45723</v>
      </c>
      <c r="G1802" s="2">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2">
        <v>45723</v>
      </c>
      <c r="G1803" s="2">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2">
        <v>45723</v>
      </c>
      <c r="G1804" s="2">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2">
        <v>45723</v>
      </c>
      <c r="G1805" s="2">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2">
        <v>45723</v>
      </c>
      <c r="G1806" s="2">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2">
        <v>45723</v>
      </c>
      <c r="G1807" s="2">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2">
        <v>45724</v>
      </c>
      <c r="G1808" s="2">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2">
        <v>45724</v>
      </c>
      <c r="G1809" s="2">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2">
        <v>45724</v>
      </c>
      <c r="G1810" s="2">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2">
        <v>45724</v>
      </c>
      <c r="G1811" s="2">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2">
        <v>45724</v>
      </c>
      <c r="G1812" s="2">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2">
        <v>45724</v>
      </c>
      <c r="G1813" s="2">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2">
        <v>45724</v>
      </c>
      <c r="G1814" s="2">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2">
        <v>45724</v>
      </c>
      <c r="G1815" s="2">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2">
        <v>45724</v>
      </c>
      <c r="G1816" s="2">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2">
        <v>45724</v>
      </c>
      <c r="G1817" s="2">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2">
        <v>45724</v>
      </c>
      <c r="G1818" s="2">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2">
        <v>45724</v>
      </c>
      <c r="G1819" s="2">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2">
        <v>45724</v>
      </c>
      <c r="G1820" s="2">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2">
        <v>45724</v>
      </c>
      <c r="G1821" s="2">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2">
        <v>45724</v>
      </c>
      <c r="G1822" s="2">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2">
        <v>45724</v>
      </c>
      <c r="G1823" s="2">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2">
        <v>45724</v>
      </c>
      <c r="G1824" s="2">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2">
        <v>45724</v>
      </c>
      <c r="G1825" s="2">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2">
        <v>45724</v>
      </c>
      <c r="G1826" s="2">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2">
        <v>45724</v>
      </c>
      <c r="G1827" s="2">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2">
        <v>45724</v>
      </c>
      <c r="G1828" s="2">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2">
        <v>45725</v>
      </c>
      <c r="G1829" s="2">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2">
        <v>45725</v>
      </c>
      <c r="G1830" s="2">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2">
        <v>45725</v>
      </c>
      <c r="G1831" s="2">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2">
        <v>45725</v>
      </c>
      <c r="G1832" s="2">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2">
        <v>45725</v>
      </c>
      <c r="G1833" s="2">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2">
        <v>45725</v>
      </c>
      <c r="G1834" s="2">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2">
        <v>45725</v>
      </c>
      <c r="G1835" s="2">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2">
        <v>45725</v>
      </c>
      <c r="G1836" s="2">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2">
        <v>45725</v>
      </c>
      <c r="G1837" s="2">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2">
        <v>45725</v>
      </c>
      <c r="G1838" s="2">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2">
        <v>45725</v>
      </c>
      <c r="G1839" s="2">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2">
        <v>45725</v>
      </c>
      <c r="G1840" s="2">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2">
        <v>45725</v>
      </c>
      <c r="G1841" s="2">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2">
        <v>45725</v>
      </c>
      <c r="G1842" s="2">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2">
        <v>45725</v>
      </c>
      <c r="G1843" s="2">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2">
        <v>45725</v>
      </c>
      <c r="G1844" s="2">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2">
        <v>45725</v>
      </c>
      <c r="G1845" s="2">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2">
        <v>45725</v>
      </c>
      <c r="G1846" s="2">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2">
        <v>45725</v>
      </c>
      <c r="G1847" s="2">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2">
        <v>45725</v>
      </c>
      <c r="G1848" s="2">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2">
        <v>45725</v>
      </c>
      <c r="G1849" s="2">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2">
        <v>45725</v>
      </c>
      <c r="G1850" s="2">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2">
        <v>45725</v>
      </c>
      <c r="G1851" s="2">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2">
        <v>45725</v>
      </c>
      <c r="G1852" s="2">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2">
        <v>45725</v>
      </c>
      <c r="G1853" s="2">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2">
        <v>45725</v>
      </c>
      <c r="G1854" s="2">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2">
        <v>45725</v>
      </c>
      <c r="G1855" s="2">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2">
        <v>45726</v>
      </c>
      <c r="G1856" s="2">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2">
        <v>45726</v>
      </c>
      <c r="G1857" s="2">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2">
        <v>45726</v>
      </c>
      <c r="G1858" s="2">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2">
        <v>45726</v>
      </c>
      <c r="G1859" s="2">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2">
        <v>45726</v>
      </c>
      <c r="G1860" s="2">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2">
        <v>45726</v>
      </c>
      <c r="G1861" s="2">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2">
        <v>45726</v>
      </c>
      <c r="G1862" s="2">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2">
        <v>45726</v>
      </c>
      <c r="G1863" s="2">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2">
        <v>45726</v>
      </c>
      <c r="G1864" s="2">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2">
        <v>45726</v>
      </c>
      <c r="G1865" s="2">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2">
        <v>45726</v>
      </c>
      <c r="G1866" s="2">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2">
        <v>45726</v>
      </c>
      <c r="G1867" s="2">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2">
        <v>45726</v>
      </c>
      <c r="G1868" s="2">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2">
        <v>45726</v>
      </c>
      <c r="G1869" s="2">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2">
        <v>45726</v>
      </c>
      <c r="G1870" s="2">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2">
        <v>45726</v>
      </c>
      <c r="G1871" s="2">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2">
        <v>45726</v>
      </c>
      <c r="G1872" s="2">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2">
        <v>45726</v>
      </c>
      <c r="G1873" s="2">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2">
        <v>45726</v>
      </c>
      <c r="G1874" s="2">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2">
        <v>45726</v>
      </c>
      <c r="G1875" s="2">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2">
        <v>45726</v>
      </c>
      <c r="G1876" s="2">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2">
        <v>45726</v>
      </c>
      <c r="G1877" s="2">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2">
        <v>45726</v>
      </c>
      <c r="G1878" s="2">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2">
        <v>45726</v>
      </c>
      <c r="G1879" s="2">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2">
        <v>45726</v>
      </c>
      <c r="G1880" s="2">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2">
        <v>45726</v>
      </c>
      <c r="G1881" s="2">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2">
        <v>45726</v>
      </c>
      <c r="G1882" s="2">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2">
        <v>45726</v>
      </c>
      <c r="G1883" s="2">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2">
        <v>45726</v>
      </c>
      <c r="G1884" s="2">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2">
        <v>45726</v>
      </c>
      <c r="G1885" s="2">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2">
        <v>45726</v>
      </c>
      <c r="G1886" s="2">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2">
        <v>45726</v>
      </c>
      <c r="G1887" s="2">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2">
        <v>45726</v>
      </c>
      <c r="G1888" s="2">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2">
        <v>45726</v>
      </c>
      <c r="G1889" s="2">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2">
        <v>45727</v>
      </c>
      <c r="G1890" s="2">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2">
        <v>45727</v>
      </c>
      <c r="G1891" s="2">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2">
        <v>45727</v>
      </c>
      <c r="G1892" s="2">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2">
        <v>45727</v>
      </c>
      <c r="G1893" s="2">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2">
        <v>45727</v>
      </c>
      <c r="G1894" s="2">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2">
        <v>45727</v>
      </c>
      <c r="G1895" s="2">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2">
        <v>45727</v>
      </c>
      <c r="G1896" s="2">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2">
        <v>45727</v>
      </c>
      <c r="G1897" s="2">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2">
        <v>45727</v>
      </c>
      <c r="G1898" s="2">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2">
        <v>45727</v>
      </c>
      <c r="G1899" s="2">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2">
        <v>45727</v>
      </c>
      <c r="G1900" s="2">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2">
        <v>45727</v>
      </c>
      <c r="G1901" s="2">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2">
        <v>45727</v>
      </c>
      <c r="G1902" s="2">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2">
        <v>45727</v>
      </c>
      <c r="G1903" s="2">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2">
        <v>45727</v>
      </c>
      <c r="G1904" s="2">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2">
        <v>45727</v>
      </c>
      <c r="G1905" s="2">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2">
        <v>45727</v>
      </c>
      <c r="G1906" s="2">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2">
        <v>45727</v>
      </c>
      <c r="G1907" s="2">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2">
        <v>45727</v>
      </c>
      <c r="G1908" s="2">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2">
        <v>45727</v>
      </c>
      <c r="G1909" s="2">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2">
        <v>45727</v>
      </c>
      <c r="G1910" s="2">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2">
        <v>45727</v>
      </c>
      <c r="G1911" s="2">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2">
        <v>45727</v>
      </c>
      <c r="G1912" s="2">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2">
        <v>45727</v>
      </c>
      <c r="G1913" s="2">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2">
        <v>45727</v>
      </c>
      <c r="G1914" s="2">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2">
        <v>45727</v>
      </c>
      <c r="G1915" s="2">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2">
        <v>45727</v>
      </c>
      <c r="G1916" s="2">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2">
        <v>45727</v>
      </c>
      <c r="G1917" s="2">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2">
        <v>45727</v>
      </c>
      <c r="G1918" s="2">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2">
        <v>45727</v>
      </c>
      <c r="G1919" s="2">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2">
        <v>45728</v>
      </c>
      <c r="G1920" s="2">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2">
        <v>45728</v>
      </c>
      <c r="G1921" s="2">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2">
        <v>45728</v>
      </c>
      <c r="G1922" s="2">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2">
        <v>45728</v>
      </c>
      <c r="G1923" s="2">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2">
        <v>45728</v>
      </c>
      <c r="G1924" s="2">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2">
        <v>45728</v>
      </c>
      <c r="G1925" s="2">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2">
        <v>45728</v>
      </c>
      <c r="G1926" s="2">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2">
        <v>45728</v>
      </c>
      <c r="G1927" s="2">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2">
        <v>45728</v>
      </c>
      <c r="G1928" s="2">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2">
        <v>45728</v>
      </c>
      <c r="G1929" s="2">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2">
        <v>45728</v>
      </c>
      <c r="G1930" s="2">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2">
        <v>45728</v>
      </c>
      <c r="G1931" s="2">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2">
        <v>45728</v>
      </c>
      <c r="G1932" s="2">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2">
        <v>45728</v>
      </c>
      <c r="G1933" s="2">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2">
        <v>45728</v>
      </c>
      <c r="G1934" s="2">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2">
        <v>45728</v>
      </c>
      <c r="G1935" s="2">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2">
        <v>45728</v>
      </c>
      <c r="G1936" s="2">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2">
        <v>45728</v>
      </c>
      <c r="G1937" s="2">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2">
        <v>45728</v>
      </c>
      <c r="G1938" s="2">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2">
        <v>45728</v>
      </c>
      <c r="G1939" s="2">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2">
        <v>45728</v>
      </c>
      <c r="G1940" s="2">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2">
        <v>45728</v>
      </c>
      <c r="G1941" s="2">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2">
        <v>45728</v>
      </c>
      <c r="G1942" s="2">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2">
        <v>45728</v>
      </c>
      <c r="G1943" s="2">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2">
        <v>45728</v>
      </c>
      <c r="G1944" s="2">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2">
        <v>45728</v>
      </c>
      <c r="G1945" s="2">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2">
        <v>45728</v>
      </c>
      <c r="G1946" s="2">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2">
        <v>45728</v>
      </c>
      <c r="G1947" s="2">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2">
        <v>45728</v>
      </c>
      <c r="G1948" s="2">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2">
        <v>45728</v>
      </c>
      <c r="G1949" s="2">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2">
        <v>45728</v>
      </c>
      <c r="G1950" s="2">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2">
        <v>45728</v>
      </c>
      <c r="G1951" s="2">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2">
        <v>45729</v>
      </c>
      <c r="G1952" s="2">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2">
        <v>45729</v>
      </c>
      <c r="G1953" s="2">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2">
        <v>45729</v>
      </c>
      <c r="G1954" s="2">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2">
        <v>45729</v>
      </c>
      <c r="G1955" s="2">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2">
        <v>45729</v>
      </c>
      <c r="G1956" s="2">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2">
        <v>45729</v>
      </c>
      <c r="G1957" s="2">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2">
        <v>45729</v>
      </c>
      <c r="G1958" s="2">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2">
        <v>45729</v>
      </c>
      <c r="G1959" s="2">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2">
        <v>45729</v>
      </c>
      <c r="G1960" s="2">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2">
        <v>45729</v>
      </c>
      <c r="G1961" s="2">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2">
        <v>45729</v>
      </c>
      <c r="G1962" s="2">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2">
        <v>45729</v>
      </c>
      <c r="G1963" s="2">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2">
        <v>45729</v>
      </c>
      <c r="G1964" s="2">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2">
        <v>45729</v>
      </c>
      <c r="G1965" s="2">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2">
        <v>45729</v>
      </c>
      <c r="G1966" s="2">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2">
        <v>45729</v>
      </c>
      <c r="G1967" s="2">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2">
        <v>45729</v>
      </c>
      <c r="G1968" s="2">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2">
        <v>45729</v>
      </c>
      <c r="G1969" s="2">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2">
        <v>45729</v>
      </c>
      <c r="G1970" s="2">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2">
        <v>45729</v>
      </c>
      <c r="G1971" s="2">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2">
        <v>45729</v>
      </c>
      <c r="G1972" s="2">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2">
        <v>45729</v>
      </c>
      <c r="G1973" s="2">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2">
        <v>45729</v>
      </c>
      <c r="G1974" s="2">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2">
        <v>45729</v>
      </c>
      <c r="G1975" s="2">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2">
        <v>45729</v>
      </c>
      <c r="G1976" s="2">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2">
        <v>45729</v>
      </c>
      <c r="G1977" s="2">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2">
        <v>45730</v>
      </c>
      <c r="G1978" s="2">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2">
        <v>45730</v>
      </c>
      <c r="G1979" s="2">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2">
        <v>45730</v>
      </c>
      <c r="G1980" s="2">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2">
        <v>45730</v>
      </c>
      <c r="G1981" s="2">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2">
        <v>45730</v>
      </c>
      <c r="G1982" s="2">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2">
        <v>45730</v>
      </c>
      <c r="G1983" s="2">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2">
        <v>45730</v>
      </c>
      <c r="G1984" s="2">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2">
        <v>45730</v>
      </c>
      <c r="G1985" s="2">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2">
        <v>45730</v>
      </c>
      <c r="G1986" s="2">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2">
        <v>45730</v>
      </c>
      <c r="G1987" s="2">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2">
        <v>45730</v>
      </c>
      <c r="G1988" s="2">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2">
        <v>45731</v>
      </c>
      <c r="G1989" s="2">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2">
        <v>45731</v>
      </c>
      <c r="G1990" s="2">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2">
        <v>45731</v>
      </c>
      <c r="G1991" s="2">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2">
        <v>45731</v>
      </c>
      <c r="G1992" s="2">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2">
        <v>45731</v>
      </c>
      <c r="G1993" s="2">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2">
        <v>45731</v>
      </c>
      <c r="G1994" s="2">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2">
        <v>45731</v>
      </c>
      <c r="G1995" s="2">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2">
        <v>45731</v>
      </c>
      <c r="G1996" s="2">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2">
        <v>45731</v>
      </c>
      <c r="G1997" s="2">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2">
        <v>45731</v>
      </c>
      <c r="G1998" s="2">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2">
        <v>45731</v>
      </c>
      <c r="G1999" s="2">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2">
        <v>45731</v>
      </c>
      <c r="G2000" s="2">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2">
        <v>45731</v>
      </c>
      <c r="G2001" s="2">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2">
        <v>45731</v>
      </c>
      <c r="G2002" s="2">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2">
        <v>45731</v>
      </c>
      <c r="G2003" s="2">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2">
        <v>45731</v>
      </c>
      <c r="G2004" s="2">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2">
        <v>45731</v>
      </c>
      <c r="G2005" s="2">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2">
        <v>45731</v>
      </c>
      <c r="G2006" s="2">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2">
        <v>45731</v>
      </c>
      <c r="G2007" s="2">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2">
        <v>45731</v>
      </c>
      <c r="G2008" s="2">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2">
        <v>45731</v>
      </c>
      <c r="G2009" s="2">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2">
        <v>45731</v>
      </c>
      <c r="G2010" s="2">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2">
        <v>45731</v>
      </c>
      <c r="G2011" s="2">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2">
        <v>45731</v>
      </c>
      <c r="G2012" s="2">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2">
        <v>45731</v>
      </c>
      <c r="G2013" s="2">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2">
        <v>45731</v>
      </c>
      <c r="G2014" s="2">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2">
        <v>45731</v>
      </c>
      <c r="G2015" s="2">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2">
        <v>45731</v>
      </c>
      <c r="G2016" s="2">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2">
        <v>45731</v>
      </c>
      <c r="G2017" s="2">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2">
        <v>45732</v>
      </c>
      <c r="G2018" s="2">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2">
        <v>45732</v>
      </c>
      <c r="G2019" s="2">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2">
        <v>45732</v>
      </c>
      <c r="G2020" s="2">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2">
        <v>45732</v>
      </c>
      <c r="G2021" s="2">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2">
        <v>45732</v>
      </c>
      <c r="G2022" s="2">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2">
        <v>45732</v>
      </c>
      <c r="G2023" s="2">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2">
        <v>45732</v>
      </c>
      <c r="G2024" s="2">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2">
        <v>45732</v>
      </c>
      <c r="G2025" s="2">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2">
        <v>45732</v>
      </c>
      <c r="G2026" s="2">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2">
        <v>45732</v>
      </c>
      <c r="G2027" s="2">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2">
        <v>45732</v>
      </c>
      <c r="G2028" s="2">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2">
        <v>45732</v>
      </c>
      <c r="G2029" s="2">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2">
        <v>45732</v>
      </c>
      <c r="G2030" s="2">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2">
        <v>45732</v>
      </c>
      <c r="G2031" s="2">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2">
        <v>45732</v>
      </c>
      <c r="G2032" s="2">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2">
        <v>45732</v>
      </c>
      <c r="G2033" s="2">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2">
        <v>45732</v>
      </c>
      <c r="G2034" s="2">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2">
        <v>45732</v>
      </c>
      <c r="G2035" s="2">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2">
        <v>45732</v>
      </c>
      <c r="G2036" s="2">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2">
        <v>45732</v>
      </c>
      <c r="G2037" s="2">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2">
        <v>45732</v>
      </c>
      <c r="G2038" s="2">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2">
        <v>45732</v>
      </c>
      <c r="G2039" s="2">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2">
        <v>45732</v>
      </c>
      <c r="G2040" s="2">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2">
        <v>45732</v>
      </c>
      <c r="G2041" s="2">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2">
        <v>45732</v>
      </c>
      <c r="G2042" s="2">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2">
        <v>45732</v>
      </c>
      <c r="G2043" s="2">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2">
        <v>45732</v>
      </c>
      <c r="G2044" s="2">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2">
        <v>45732</v>
      </c>
      <c r="G2045" s="2">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2">
        <v>45732</v>
      </c>
      <c r="G2046" s="2">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2">
        <v>45732</v>
      </c>
      <c r="G2047" s="2">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2">
        <v>45732</v>
      </c>
      <c r="G2048" s="2">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2">
        <v>45733</v>
      </c>
      <c r="G2049" s="2">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2">
        <v>45733</v>
      </c>
      <c r="G2050" s="2">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2">
        <v>45733</v>
      </c>
      <c r="G2051" s="2">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2">
        <v>45733</v>
      </c>
      <c r="G2052" s="2">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2">
        <v>45733</v>
      </c>
      <c r="G2053" s="2">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2">
        <v>45733</v>
      </c>
      <c r="G2054" s="2">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2">
        <v>45733</v>
      </c>
      <c r="G2055" s="2">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2">
        <v>45733</v>
      </c>
      <c r="G2056" s="2">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2">
        <v>45733</v>
      </c>
      <c r="G2057" s="2">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2">
        <v>45733</v>
      </c>
      <c r="G2058" s="2">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2">
        <v>45733</v>
      </c>
      <c r="G2059" s="2">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2">
        <v>45733</v>
      </c>
      <c r="G2060" s="2">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2">
        <v>45733</v>
      </c>
      <c r="G2061" s="2">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2">
        <v>45733</v>
      </c>
      <c r="G2062" s="2">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2">
        <v>45733</v>
      </c>
      <c r="G2063" s="2">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2">
        <v>45733</v>
      </c>
      <c r="G2064" s="2">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2">
        <v>45733</v>
      </c>
      <c r="G2065" s="2">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2">
        <v>45733</v>
      </c>
      <c r="G2066" s="2">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2">
        <v>45733</v>
      </c>
      <c r="G2067" s="2">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2">
        <v>45733</v>
      </c>
      <c r="G2068" s="2">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2">
        <v>45733</v>
      </c>
      <c r="G2069" s="2">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2">
        <v>45733</v>
      </c>
      <c r="G2070" s="2">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2">
        <v>45733</v>
      </c>
      <c r="G2071" s="2">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2">
        <v>45733</v>
      </c>
      <c r="G2072" s="2">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2">
        <v>45733</v>
      </c>
      <c r="G2073" s="2">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2">
        <v>45733</v>
      </c>
      <c r="G2074" s="2">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2">
        <v>45733</v>
      </c>
      <c r="G2075" s="2">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2">
        <v>45734</v>
      </c>
      <c r="G2076" s="2">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2">
        <v>45734</v>
      </c>
      <c r="G2077" s="2">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2">
        <v>45734</v>
      </c>
      <c r="G2078" s="2">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2">
        <v>45734</v>
      </c>
      <c r="G2079" s="2">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2">
        <v>45734</v>
      </c>
      <c r="G2080" s="2">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2">
        <v>45734</v>
      </c>
      <c r="G2081" s="2">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2">
        <v>45734</v>
      </c>
      <c r="G2082" s="2">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2">
        <v>45734</v>
      </c>
      <c r="G2083" s="2">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2">
        <v>45734</v>
      </c>
      <c r="G2084" s="2">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2">
        <v>45734</v>
      </c>
      <c r="G2085" s="2">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2">
        <v>45734</v>
      </c>
      <c r="G2086" s="2">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2">
        <v>45734</v>
      </c>
      <c r="G2087" s="2">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2">
        <v>45734</v>
      </c>
      <c r="G2088" s="2">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2">
        <v>45734</v>
      </c>
      <c r="G2089" s="2">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2">
        <v>45734</v>
      </c>
      <c r="G2090" s="2">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2">
        <v>45734</v>
      </c>
      <c r="G2091" s="2">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2">
        <v>45734</v>
      </c>
      <c r="G2092" s="2">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2">
        <v>45734</v>
      </c>
      <c r="G2093" s="2">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2">
        <v>45734</v>
      </c>
      <c r="G2094" s="2">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2">
        <v>45734</v>
      </c>
      <c r="G2095" s="2">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2">
        <v>45734</v>
      </c>
      <c r="G2096" s="2">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2">
        <v>45734</v>
      </c>
      <c r="G2097" s="2">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2">
        <v>45735</v>
      </c>
      <c r="G2098" s="2">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2">
        <v>45735</v>
      </c>
      <c r="G2099" s="2">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2">
        <v>45735</v>
      </c>
      <c r="G2100" s="2">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2">
        <v>45735</v>
      </c>
      <c r="G2101" s="2">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2">
        <v>45735</v>
      </c>
      <c r="G2102" s="2">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2">
        <v>45735</v>
      </c>
      <c r="G2103" s="2">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2">
        <v>45735</v>
      </c>
      <c r="G2104" s="2">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2">
        <v>45735</v>
      </c>
      <c r="G2105" s="2">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2">
        <v>45735</v>
      </c>
      <c r="G2106" s="2">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2">
        <v>45735</v>
      </c>
      <c r="G2107" s="2">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2">
        <v>45735</v>
      </c>
      <c r="G2108" s="2">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2">
        <v>45735</v>
      </c>
      <c r="G2109" s="2">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2">
        <v>45735</v>
      </c>
      <c r="G2110" s="2">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2">
        <v>45735</v>
      </c>
      <c r="G2111" s="2">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2">
        <v>45735</v>
      </c>
      <c r="G2112" s="2">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2">
        <v>45735</v>
      </c>
      <c r="G2113" s="2">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2">
        <v>45735</v>
      </c>
      <c r="G2114" s="2">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2">
        <v>45735</v>
      </c>
      <c r="G2115" s="2">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2">
        <v>45735</v>
      </c>
      <c r="G2116" s="2">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2">
        <v>45735</v>
      </c>
      <c r="G2117" s="2">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2">
        <v>45735</v>
      </c>
      <c r="G2118" s="2">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2">
        <v>45735</v>
      </c>
      <c r="G2119" s="2">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2">
        <v>45735</v>
      </c>
      <c r="G2120" s="2">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2">
        <v>45735</v>
      </c>
      <c r="G2121" s="2">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2">
        <v>45735</v>
      </c>
      <c r="G2122" s="2">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2">
        <v>45735</v>
      </c>
      <c r="G2123" s="2">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2">
        <v>45735</v>
      </c>
      <c r="G2124" s="2">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2">
        <v>45735</v>
      </c>
      <c r="G2125" s="2">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2">
        <v>45735</v>
      </c>
      <c r="G2126" s="2">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2">
        <v>45735</v>
      </c>
      <c r="G2127" s="2">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2">
        <v>45735</v>
      </c>
      <c r="G2128" s="2">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2">
        <v>45735</v>
      </c>
      <c r="G2129" s="2">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2">
        <v>45735</v>
      </c>
      <c r="G2130" s="2">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2">
        <v>45735</v>
      </c>
      <c r="G2131" s="2">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2">
        <v>45735</v>
      </c>
      <c r="G2132" s="2">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2">
        <v>45735</v>
      </c>
      <c r="G2133" s="2">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2">
        <v>45735</v>
      </c>
      <c r="G2134" s="2">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2">
        <v>45735</v>
      </c>
      <c r="G2135" s="2">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2">
        <v>45735</v>
      </c>
      <c r="G2136" s="2">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2">
        <v>45735</v>
      </c>
      <c r="G2137" s="2">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2">
        <v>45735</v>
      </c>
      <c r="G2138" s="2">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2">
        <v>45736</v>
      </c>
      <c r="G2139" s="2">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2">
        <v>45736</v>
      </c>
      <c r="G2140" s="2">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2">
        <v>45736</v>
      </c>
      <c r="G2141" s="2">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2">
        <v>45736</v>
      </c>
      <c r="G2142" s="2">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2">
        <v>45736</v>
      </c>
      <c r="G2143" s="2">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2">
        <v>45736</v>
      </c>
      <c r="G2144" s="2">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2">
        <v>45736</v>
      </c>
      <c r="G2145" s="2">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2">
        <v>45736</v>
      </c>
      <c r="G2146" s="2">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2">
        <v>45736</v>
      </c>
      <c r="G2147" s="2">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2">
        <v>45736</v>
      </c>
      <c r="G2148" s="2">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2">
        <v>45736</v>
      </c>
      <c r="G2149" s="2">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2">
        <v>45736</v>
      </c>
      <c r="G2150" s="2">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2">
        <v>45736</v>
      </c>
      <c r="G2151" s="2">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2">
        <v>45736</v>
      </c>
      <c r="G2152" s="2">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2">
        <v>45736</v>
      </c>
      <c r="G2153" s="2">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2">
        <v>45736</v>
      </c>
      <c r="G2154" s="2">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2">
        <v>45736</v>
      </c>
      <c r="G2155" s="2">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2">
        <v>45736</v>
      </c>
      <c r="G2156" s="2">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2">
        <v>45736</v>
      </c>
      <c r="G2157" s="2">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2">
        <v>45736</v>
      </c>
      <c r="G2158" s="2">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2">
        <v>45736</v>
      </c>
      <c r="G2159" s="2">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2">
        <v>45736</v>
      </c>
      <c r="G2160" s="2">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2">
        <v>45736</v>
      </c>
      <c r="G2161" s="2">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2">
        <v>45736</v>
      </c>
      <c r="G2162" s="2">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2">
        <v>45736</v>
      </c>
      <c r="G2163" s="2">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2">
        <v>45736</v>
      </c>
      <c r="G2164" s="2">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2">
        <v>45736</v>
      </c>
      <c r="G2165" s="2">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2">
        <v>45736</v>
      </c>
      <c r="G2166" s="2">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2">
        <v>45737</v>
      </c>
      <c r="G2167" s="2">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2">
        <v>45737</v>
      </c>
      <c r="G2168" s="2">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2">
        <v>45737</v>
      </c>
      <c r="G2169" s="2">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2">
        <v>45737</v>
      </c>
      <c r="G2170" s="2">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2">
        <v>45737</v>
      </c>
      <c r="G2171" s="2">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2">
        <v>45737</v>
      </c>
      <c r="G2172" s="2">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2">
        <v>45737</v>
      </c>
      <c r="G2173" s="2">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2">
        <v>45737</v>
      </c>
      <c r="G2174" s="2">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2">
        <v>45737</v>
      </c>
      <c r="G2175" s="2">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2">
        <v>45737</v>
      </c>
      <c r="G2176" s="2">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2">
        <v>45737</v>
      </c>
      <c r="G2177" s="2">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2">
        <v>45737</v>
      </c>
      <c r="G2178" s="2">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2">
        <v>45737</v>
      </c>
      <c r="G2179" s="2">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2">
        <v>45737</v>
      </c>
      <c r="G2180" s="2">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2">
        <v>45737</v>
      </c>
      <c r="G2181" s="2">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2">
        <v>45737</v>
      </c>
      <c r="G2182" s="2">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2">
        <v>45737</v>
      </c>
      <c r="G2183" s="2">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2">
        <v>45737</v>
      </c>
      <c r="G2184" s="2">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2">
        <v>45737</v>
      </c>
      <c r="G2185" s="2">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2">
        <v>45737</v>
      </c>
      <c r="G2186" s="2">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2">
        <v>45737</v>
      </c>
      <c r="G2187" s="2">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2">
        <v>45737</v>
      </c>
      <c r="G2188" s="2">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2">
        <v>45737</v>
      </c>
      <c r="G2189" s="2">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2">
        <v>45737</v>
      </c>
      <c r="G2190" s="2">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2">
        <v>45737</v>
      </c>
      <c r="G2191" s="2">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2">
        <v>45737</v>
      </c>
      <c r="G2192" s="2">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2">
        <v>45737</v>
      </c>
      <c r="G2193" s="2">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2">
        <v>45737</v>
      </c>
      <c r="G2194" s="2">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2">
        <v>45738</v>
      </c>
      <c r="G2195" s="2">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2">
        <v>45738</v>
      </c>
      <c r="G2196" s="2">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2">
        <v>45738</v>
      </c>
      <c r="G2197" s="2">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2">
        <v>45738</v>
      </c>
      <c r="G2198" s="2">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2">
        <v>45738</v>
      </c>
      <c r="G2199" s="2">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2">
        <v>45738</v>
      </c>
      <c r="G2200" s="2">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2">
        <v>45738</v>
      </c>
      <c r="G2201" s="2">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2">
        <v>45738</v>
      </c>
      <c r="G2202" s="2">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2">
        <v>45738</v>
      </c>
      <c r="G2203" s="2">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2">
        <v>45738</v>
      </c>
      <c r="G2204" s="2">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2">
        <v>45738</v>
      </c>
      <c r="G2205" s="2">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2">
        <v>45738</v>
      </c>
      <c r="G2206" s="2">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2">
        <v>45738</v>
      </c>
      <c r="G2207" s="2">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2">
        <v>45738</v>
      </c>
      <c r="G2208" s="2">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2">
        <v>45738</v>
      </c>
      <c r="G2209" s="2">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2">
        <v>45738</v>
      </c>
      <c r="G2210" s="2">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2">
        <v>45738</v>
      </c>
      <c r="G2211" s="2">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2">
        <v>45738</v>
      </c>
      <c r="G2212" s="2">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2">
        <v>45738</v>
      </c>
      <c r="G2213" s="2">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2">
        <v>45738</v>
      </c>
      <c r="G2214" s="2">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2">
        <v>45738</v>
      </c>
      <c r="G2215" s="2">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2">
        <v>45738</v>
      </c>
      <c r="G2216" s="2">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2">
        <v>45738</v>
      </c>
      <c r="G2217" s="2">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2">
        <v>45739</v>
      </c>
      <c r="G2218" s="2">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2">
        <v>45739</v>
      </c>
      <c r="G2219" s="2">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2">
        <v>45739</v>
      </c>
      <c r="G2220" s="2">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2">
        <v>45739</v>
      </c>
      <c r="G2221" s="2">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2">
        <v>45739</v>
      </c>
      <c r="G2222" s="2">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2">
        <v>45739</v>
      </c>
      <c r="G2223" s="2">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2">
        <v>45739</v>
      </c>
      <c r="G2224" s="2">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2">
        <v>45739</v>
      </c>
      <c r="G2225" s="2">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2">
        <v>45739</v>
      </c>
      <c r="G2226" s="2">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2">
        <v>45739</v>
      </c>
      <c r="G2227" s="2">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2">
        <v>45739</v>
      </c>
      <c r="G2228" s="2">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2">
        <v>45739</v>
      </c>
      <c r="G2229" s="2">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2">
        <v>45739</v>
      </c>
      <c r="G2230" s="2">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2">
        <v>45739</v>
      </c>
      <c r="G2231" s="2">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2">
        <v>45739</v>
      </c>
      <c r="G2232" s="2">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2">
        <v>45739</v>
      </c>
      <c r="G2233" s="2">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2">
        <v>45739</v>
      </c>
      <c r="G2234" s="2">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2">
        <v>45739</v>
      </c>
      <c r="G2235" s="2">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2">
        <v>45739</v>
      </c>
      <c r="G2236" s="2">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2">
        <v>45740</v>
      </c>
      <c r="G2237" s="2">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2">
        <v>45740</v>
      </c>
      <c r="G2238" s="2">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2">
        <v>45740</v>
      </c>
      <c r="G2239" s="2">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2">
        <v>45740</v>
      </c>
      <c r="G2240" s="2">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2">
        <v>45740</v>
      </c>
      <c r="G2241" s="2">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2">
        <v>45740</v>
      </c>
      <c r="G2242" s="2">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2">
        <v>45740</v>
      </c>
      <c r="G2243" s="2">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2">
        <v>45740</v>
      </c>
      <c r="G2244" s="2">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2">
        <v>45740</v>
      </c>
      <c r="G2245" s="2">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2">
        <v>45740</v>
      </c>
      <c r="G2246" s="2">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2">
        <v>45740</v>
      </c>
      <c r="G2247" s="2">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2">
        <v>45740</v>
      </c>
      <c r="G2248" s="2">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2">
        <v>45740</v>
      </c>
      <c r="G2249" s="2">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2">
        <v>45740</v>
      </c>
      <c r="G2250" s="2">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2">
        <v>45740</v>
      </c>
      <c r="G2251" s="2">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2">
        <v>45740</v>
      </c>
      <c r="G2252" s="2">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2">
        <v>45740</v>
      </c>
      <c r="G2253" s="2">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2">
        <v>45740</v>
      </c>
      <c r="G2254" s="2">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2">
        <v>45740</v>
      </c>
      <c r="G2255" s="2">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2">
        <v>45740</v>
      </c>
      <c r="G2256" s="2">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2">
        <v>45740</v>
      </c>
      <c r="G2257" s="2">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2">
        <v>45740</v>
      </c>
      <c r="G2258" s="2">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2">
        <v>45740</v>
      </c>
      <c r="G2259" s="2">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2">
        <v>45741</v>
      </c>
      <c r="G2260" s="2">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2">
        <v>45741</v>
      </c>
      <c r="G2261" s="2">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2">
        <v>45741</v>
      </c>
      <c r="G2262" s="2">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2">
        <v>45741</v>
      </c>
      <c r="G2263" s="2">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2">
        <v>45741</v>
      </c>
      <c r="G2264" s="2">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2">
        <v>45741</v>
      </c>
      <c r="G2265" s="2">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2">
        <v>45741</v>
      </c>
      <c r="G2266" s="2">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2">
        <v>45741</v>
      </c>
      <c r="G2267" s="2">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2">
        <v>45741</v>
      </c>
      <c r="G2268" s="2">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2">
        <v>45741</v>
      </c>
      <c r="G2269" s="2">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2">
        <v>45741</v>
      </c>
      <c r="G2270" s="2">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2">
        <v>45741</v>
      </c>
      <c r="G2271" s="2">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2">
        <v>45741</v>
      </c>
      <c r="G2272" s="2">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2">
        <v>45741</v>
      </c>
      <c r="G2273" s="2">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2">
        <v>45741</v>
      </c>
      <c r="G2274" s="2">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2">
        <v>45741</v>
      </c>
      <c r="G2275" s="2">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2">
        <v>45741</v>
      </c>
      <c r="G2276" s="2">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2">
        <v>45741</v>
      </c>
      <c r="G2277" s="2">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2">
        <v>45741</v>
      </c>
      <c r="G2278" s="2">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2">
        <v>45741</v>
      </c>
      <c r="G2279" s="2">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2">
        <v>45741</v>
      </c>
      <c r="G2280" s="2">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2">
        <v>45741</v>
      </c>
      <c r="G2281" s="2">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2">
        <v>45741</v>
      </c>
      <c r="G2282" s="2">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2">
        <v>45741</v>
      </c>
      <c r="G2283" s="2">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2">
        <v>45741</v>
      </c>
      <c r="G2284" s="2">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2">
        <v>45741</v>
      </c>
      <c r="G2285" s="2">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2">
        <v>45742</v>
      </c>
      <c r="G2286" s="2">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2">
        <v>45742</v>
      </c>
      <c r="G2287" s="2">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2">
        <v>45742</v>
      </c>
      <c r="G2288" s="2">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2">
        <v>45742</v>
      </c>
      <c r="G2289" s="2">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2">
        <v>45742</v>
      </c>
      <c r="G2290" s="2">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2">
        <v>45742</v>
      </c>
      <c r="G2291" s="2">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2">
        <v>45742</v>
      </c>
      <c r="G2292" s="2">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2">
        <v>45742</v>
      </c>
      <c r="G2293" s="2">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2">
        <v>45742</v>
      </c>
      <c r="G2294" s="2">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2">
        <v>45742</v>
      </c>
      <c r="G2295" s="2">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2">
        <v>45742</v>
      </c>
      <c r="G2296" s="2">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2">
        <v>45742</v>
      </c>
      <c r="G2297" s="2">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2">
        <v>45742</v>
      </c>
      <c r="G2298" s="2">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2">
        <v>45742</v>
      </c>
      <c r="G2299" s="2">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2">
        <v>45742</v>
      </c>
      <c r="G2300" s="2">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2">
        <v>45742</v>
      </c>
      <c r="G2301" s="2">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2">
        <v>45742</v>
      </c>
      <c r="G2302" s="2">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2">
        <v>45742</v>
      </c>
      <c r="G2303" s="2">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2">
        <v>45742</v>
      </c>
      <c r="G2304" s="2">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2">
        <v>45742</v>
      </c>
      <c r="G2305" s="2">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2">
        <v>45742</v>
      </c>
      <c r="G2306" s="2">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2">
        <v>45742</v>
      </c>
      <c r="G2307" s="2">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2">
        <v>45742</v>
      </c>
      <c r="G2308" s="2">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2">
        <v>45742</v>
      </c>
      <c r="G2309" s="2">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2">
        <v>45742</v>
      </c>
      <c r="G2310" s="2">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2">
        <v>45742</v>
      </c>
      <c r="G2311" s="2">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2">
        <v>45742</v>
      </c>
      <c r="G2312" s="2">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2">
        <v>45742</v>
      </c>
      <c r="G2313" s="2">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2">
        <v>45742</v>
      </c>
      <c r="G2314" s="2">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2">
        <v>45742</v>
      </c>
      <c r="G2315" s="2">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2">
        <v>45742</v>
      </c>
      <c r="G2316" s="2">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2">
        <v>45742</v>
      </c>
      <c r="G2317" s="2">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2">
        <v>45742</v>
      </c>
      <c r="G2318" s="2">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2">
        <v>45743</v>
      </c>
      <c r="G2319" s="2">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2">
        <v>45743</v>
      </c>
      <c r="G2320" s="2">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2">
        <v>45743</v>
      </c>
      <c r="G2321" s="2">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2">
        <v>45743</v>
      </c>
      <c r="G2322" s="2">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2">
        <v>45743</v>
      </c>
      <c r="G2323" s="2">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2">
        <v>45743</v>
      </c>
      <c r="G2324" s="2">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2">
        <v>45743</v>
      </c>
      <c r="G2325" s="2">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2">
        <v>45743</v>
      </c>
      <c r="G2326" s="2">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2">
        <v>45743</v>
      </c>
      <c r="G2327" s="2">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2">
        <v>45743</v>
      </c>
      <c r="G2328" s="2">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2">
        <v>45743</v>
      </c>
      <c r="G2329" s="2">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2">
        <v>45743</v>
      </c>
      <c r="G2330" s="2">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2">
        <v>45743</v>
      </c>
      <c r="G2331" s="2">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2">
        <v>45743</v>
      </c>
      <c r="G2332" s="2">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2">
        <v>45743</v>
      </c>
      <c r="G2333" s="2">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2">
        <v>45743</v>
      </c>
      <c r="G2334" s="2">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2">
        <v>45743</v>
      </c>
      <c r="G2335" s="2">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2">
        <v>45743</v>
      </c>
      <c r="G2336" s="2">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2">
        <v>45743</v>
      </c>
      <c r="G2337" s="2">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2">
        <v>45743</v>
      </c>
      <c r="G2338" s="2">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2">
        <v>45743</v>
      </c>
      <c r="G2339" s="2">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2">
        <v>45743</v>
      </c>
      <c r="G2340" s="2">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2">
        <v>45743</v>
      </c>
      <c r="G2341" s="2">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2">
        <v>45743</v>
      </c>
      <c r="G2342" s="2">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2">
        <v>45743</v>
      </c>
      <c r="G2343" s="2">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2">
        <v>45743</v>
      </c>
      <c r="G2344" s="2">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2">
        <v>45743</v>
      </c>
      <c r="G2345" s="2">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2">
        <v>45743</v>
      </c>
      <c r="G2346" s="2">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2">
        <v>45744</v>
      </c>
      <c r="G2347" s="2">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2">
        <v>45744</v>
      </c>
      <c r="G2348" s="2">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2">
        <v>45744</v>
      </c>
      <c r="G2349" s="2">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2">
        <v>45744</v>
      </c>
      <c r="G2350" s="2">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2">
        <v>45744</v>
      </c>
      <c r="G2351" s="2">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2">
        <v>45744</v>
      </c>
      <c r="G2352" s="2">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2">
        <v>45744</v>
      </c>
      <c r="G2353" s="2">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2">
        <v>45744</v>
      </c>
      <c r="G2354" s="2">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2">
        <v>45744</v>
      </c>
      <c r="G2355" s="2">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2">
        <v>45744</v>
      </c>
      <c r="G2356" s="2">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2">
        <v>45744</v>
      </c>
      <c r="G2357" s="2">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2">
        <v>45744</v>
      </c>
      <c r="G2358" s="2">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2">
        <v>45744</v>
      </c>
      <c r="G2359" s="2">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2">
        <v>45744</v>
      </c>
      <c r="G2360" s="2">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2">
        <v>45744</v>
      </c>
      <c r="G2361" s="2">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2">
        <v>45744</v>
      </c>
      <c r="G2362" s="2">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2">
        <v>45744</v>
      </c>
      <c r="G2363" s="2">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2">
        <v>45744</v>
      </c>
      <c r="G2364" s="2">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2">
        <v>45744</v>
      </c>
      <c r="G2365" s="2">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2">
        <v>45744</v>
      </c>
      <c r="G2366" s="2">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2">
        <v>45744</v>
      </c>
      <c r="G2367" s="2">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2">
        <v>45744</v>
      </c>
      <c r="G2368" s="2">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2">
        <v>45744</v>
      </c>
      <c r="G2369" s="2">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2">
        <v>45744</v>
      </c>
      <c r="G2370" s="2">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2">
        <v>45744</v>
      </c>
      <c r="G2371" s="2">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2">
        <v>45744</v>
      </c>
      <c r="G2372" s="2">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2">
        <v>45744</v>
      </c>
      <c r="G2373" s="2">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2">
        <v>45744</v>
      </c>
      <c r="G2374" s="2">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2">
        <v>45744</v>
      </c>
      <c r="G2375" s="2">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2">
        <v>45745</v>
      </c>
      <c r="G2376" s="2">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2">
        <v>45745</v>
      </c>
      <c r="G2377" s="2">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2">
        <v>45745</v>
      </c>
      <c r="G2378" s="2">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2">
        <v>45745</v>
      </c>
      <c r="G2379" s="2">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2">
        <v>45745</v>
      </c>
      <c r="G2380" s="2">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2">
        <v>45745</v>
      </c>
      <c r="G2381" s="2">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2">
        <v>45745</v>
      </c>
      <c r="G2382" s="2">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2">
        <v>45745</v>
      </c>
      <c r="G2383" s="2">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2">
        <v>45745</v>
      </c>
      <c r="G2384" s="2">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2">
        <v>45745</v>
      </c>
      <c r="G2385" s="2">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2">
        <v>45745</v>
      </c>
      <c r="G2386" s="2">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2">
        <v>45745</v>
      </c>
      <c r="G2387" s="2">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2">
        <v>45745</v>
      </c>
      <c r="G2388" s="2">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2">
        <v>45745</v>
      </c>
      <c r="G2389" s="2">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2">
        <v>45745</v>
      </c>
      <c r="G2390" s="2">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2">
        <v>45745</v>
      </c>
      <c r="G2391" s="2">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2">
        <v>45745</v>
      </c>
      <c r="G2392" s="2">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2">
        <v>45745</v>
      </c>
      <c r="G2393" s="2">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2">
        <v>45745</v>
      </c>
      <c r="G2394" s="2">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2">
        <v>45745</v>
      </c>
      <c r="G2395" s="2">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2">
        <v>45745</v>
      </c>
      <c r="G2396" s="2">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2">
        <v>45745</v>
      </c>
      <c r="G2397" s="2">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2">
        <v>45745</v>
      </c>
      <c r="G2398" s="2">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2">
        <v>45745</v>
      </c>
      <c r="G2399" s="2">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2">
        <v>45745</v>
      </c>
      <c r="G2400" s="2">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2">
        <v>45745</v>
      </c>
      <c r="G2401" s="2">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FE1DE-AA4B-4232-8D8D-364802B8AD79}">
  <dimension ref="A3:M72"/>
  <sheetViews>
    <sheetView tabSelected="1" topLeftCell="B1" zoomScale="60" workbookViewId="0">
      <selection activeCell="L56" sqref="L56"/>
    </sheetView>
  </sheetViews>
  <sheetFormatPr defaultRowHeight="14.5" x14ac:dyDescent="0.35"/>
  <cols>
    <col min="1" max="1" width="14" bestFit="1" customWidth="1"/>
    <col min="2" max="2" width="20.26953125" bestFit="1" customWidth="1"/>
    <col min="3" max="3" width="14.26953125" bestFit="1" customWidth="1"/>
    <col min="4" max="4" width="13.6328125" bestFit="1" customWidth="1"/>
    <col min="5" max="5" width="22.36328125" bestFit="1" customWidth="1"/>
    <col min="6" max="6" width="13.08984375" customWidth="1"/>
    <col min="7" max="7" width="14.26953125" bestFit="1" customWidth="1"/>
    <col min="8" max="8" width="13.90625" bestFit="1" customWidth="1"/>
    <col min="9" max="9" width="13.26953125" bestFit="1" customWidth="1"/>
    <col min="12" max="12" width="19.90625" bestFit="1" customWidth="1"/>
    <col min="13" max="13" width="13.26953125" bestFit="1" customWidth="1"/>
  </cols>
  <sheetData>
    <row r="3" spans="1:5" x14ac:dyDescent="0.35">
      <c r="A3" s="7" t="s">
        <v>2503</v>
      </c>
      <c r="B3" s="8" t="s">
        <v>2504</v>
      </c>
      <c r="C3" s="8" t="s">
        <v>2505</v>
      </c>
      <c r="D3" s="8" t="s">
        <v>2506</v>
      </c>
      <c r="E3" s="9" t="s">
        <v>2507</v>
      </c>
    </row>
    <row r="4" spans="1:5" x14ac:dyDescent="0.35">
      <c r="A4" s="7">
        <v>2400</v>
      </c>
      <c r="B4" s="8">
        <v>11997</v>
      </c>
      <c r="C4" s="10">
        <v>649019.80000000144</v>
      </c>
      <c r="D4" s="11">
        <v>3.9620833333333332</v>
      </c>
      <c r="E4" s="12">
        <v>2.3424999999999998</v>
      </c>
    </row>
    <row r="7" spans="1:5" x14ac:dyDescent="0.35">
      <c r="A7" s="3" t="s">
        <v>2512</v>
      </c>
      <c r="B7" t="s">
        <v>2504</v>
      </c>
      <c r="C7" t="s">
        <v>2505</v>
      </c>
    </row>
    <row r="8" spans="1:5" x14ac:dyDescent="0.35">
      <c r="A8" s="4">
        <v>1</v>
      </c>
      <c r="B8">
        <v>114</v>
      </c>
      <c r="C8" s="5">
        <v>6864.1</v>
      </c>
    </row>
    <row r="9" spans="1:5" x14ac:dyDescent="0.35">
      <c r="A9" s="4">
        <v>2</v>
      </c>
      <c r="B9">
        <v>191</v>
      </c>
      <c r="C9" s="5">
        <v>12839.000000000002</v>
      </c>
    </row>
    <row r="10" spans="1:5" x14ac:dyDescent="0.35">
      <c r="A10" s="4">
        <v>3</v>
      </c>
      <c r="B10">
        <v>111</v>
      </c>
      <c r="C10" s="5">
        <v>5635.2</v>
      </c>
    </row>
    <row r="11" spans="1:5" x14ac:dyDescent="0.35">
      <c r="A11" s="4">
        <v>4</v>
      </c>
      <c r="B11">
        <v>114</v>
      </c>
      <c r="C11" s="5">
        <v>6687.1</v>
      </c>
    </row>
    <row r="12" spans="1:5" x14ac:dyDescent="0.35">
      <c r="A12" s="4">
        <v>5</v>
      </c>
      <c r="B12">
        <v>197</v>
      </c>
      <c r="C12" s="5">
        <v>10485.699999999999</v>
      </c>
    </row>
    <row r="13" spans="1:5" x14ac:dyDescent="0.35">
      <c r="A13" s="4">
        <v>6</v>
      </c>
      <c r="B13">
        <v>345</v>
      </c>
      <c r="C13" s="5">
        <v>16762.299999999996</v>
      </c>
    </row>
    <row r="14" spans="1:5" x14ac:dyDescent="0.35">
      <c r="A14" s="4">
        <v>7</v>
      </c>
      <c r="B14">
        <v>245</v>
      </c>
      <c r="C14" s="5">
        <v>11681.299999999997</v>
      </c>
    </row>
    <row r="15" spans="1:5" x14ac:dyDescent="0.35">
      <c r="A15" s="4">
        <v>8</v>
      </c>
      <c r="B15">
        <v>191</v>
      </c>
      <c r="C15" s="5">
        <v>9424</v>
      </c>
    </row>
    <row r="16" spans="1:5" x14ac:dyDescent="0.35">
      <c r="A16" s="4">
        <v>9</v>
      </c>
      <c r="B16">
        <v>211</v>
      </c>
      <c r="C16" s="5">
        <v>10219.300000000001</v>
      </c>
    </row>
    <row r="17" spans="1:13" x14ac:dyDescent="0.35">
      <c r="A17" s="4">
        <v>10</v>
      </c>
      <c r="B17">
        <v>170</v>
      </c>
      <c r="C17" s="5">
        <v>9693.5999999999985</v>
      </c>
    </row>
    <row r="18" spans="1:13" x14ac:dyDescent="0.35">
      <c r="A18" s="4">
        <v>11</v>
      </c>
      <c r="B18">
        <v>100</v>
      </c>
      <c r="C18" s="5">
        <v>5402.7999999999993</v>
      </c>
    </row>
    <row r="19" spans="1:13" x14ac:dyDescent="0.35">
      <c r="A19" s="4">
        <v>12</v>
      </c>
      <c r="B19">
        <v>144</v>
      </c>
      <c r="C19" s="5">
        <v>10369.700000000001</v>
      </c>
    </row>
    <row r="20" spans="1:13" x14ac:dyDescent="0.35">
      <c r="A20" s="4">
        <v>13</v>
      </c>
      <c r="B20">
        <v>107</v>
      </c>
      <c r="C20" s="5">
        <v>7001.9000000000005</v>
      </c>
    </row>
    <row r="21" spans="1:13" x14ac:dyDescent="0.35">
      <c r="A21" s="4" t="s">
        <v>2513</v>
      </c>
      <c r="B21">
        <v>2240</v>
      </c>
      <c r="C21" s="5">
        <v>123066</v>
      </c>
    </row>
    <row r="28" spans="1:13" x14ac:dyDescent="0.35">
      <c r="A28" s="3" t="s">
        <v>10</v>
      </c>
      <c r="B28" s="3" t="s">
        <v>11</v>
      </c>
      <c r="C28" t="s">
        <v>2504</v>
      </c>
      <c r="D28" t="s">
        <v>2505</v>
      </c>
      <c r="F28" s="21" t="str">
        <f>A28</f>
        <v>State</v>
      </c>
      <c r="G28" s="22" t="str">
        <f t="shared" ref="G28:H28" si="0">B28</f>
        <v>County</v>
      </c>
      <c r="H28" s="23" t="str">
        <f t="shared" si="0"/>
        <v>Sum of Quantity</v>
      </c>
      <c r="K28" s="21" t="str">
        <f>A28</f>
        <v>State</v>
      </c>
      <c r="L28" s="22" t="str">
        <f>B28</f>
        <v>County</v>
      </c>
      <c r="M28" s="23" t="str">
        <f>D28</f>
        <v>Sum of Amount</v>
      </c>
    </row>
    <row r="29" spans="1:13" x14ac:dyDescent="0.35">
      <c r="A29" t="s">
        <v>19</v>
      </c>
      <c r="B29" t="s">
        <v>115</v>
      </c>
      <c r="C29">
        <v>114</v>
      </c>
      <c r="D29">
        <v>5461.8</v>
      </c>
      <c r="F29" s="16" t="str">
        <f>IF(A29 ="","",A29)</f>
        <v>California</v>
      </c>
      <c r="G29" t="str">
        <f t="shared" ref="G29:H29" si="1">IF(B29 ="","",B29)</f>
        <v>Alameda County</v>
      </c>
      <c r="H29" s="17">
        <f t="shared" si="1"/>
        <v>114</v>
      </c>
      <c r="K29" s="16" t="str">
        <f>IF(A29="","",A29)</f>
        <v>California</v>
      </c>
      <c r="L29" t="str">
        <f t="shared" ref="L29:L54" si="2">IF(B29="","",B29)</f>
        <v>Alameda County</v>
      </c>
      <c r="M29" s="17">
        <f>IF(D29="","",D29)</f>
        <v>5461.8</v>
      </c>
    </row>
    <row r="30" spans="1:13" x14ac:dyDescent="0.35">
      <c r="A30" t="s">
        <v>19</v>
      </c>
      <c r="B30" t="s">
        <v>641</v>
      </c>
      <c r="C30">
        <v>2</v>
      </c>
      <c r="D30">
        <v>348.2</v>
      </c>
      <c r="F30" s="16" t="str">
        <f t="shared" ref="F30:F66" si="3">IF(A30 ="","",A30)</f>
        <v>California</v>
      </c>
      <c r="G30" t="str">
        <f t="shared" ref="G30:G66" si="4">IF(B30 ="","",B30)</f>
        <v>Amador County</v>
      </c>
      <c r="H30" s="17">
        <f t="shared" ref="H30:H66" si="5">IF(C30 ="","",C30)</f>
        <v>2</v>
      </c>
      <c r="K30" s="16" t="str">
        <f t="shared" ref="K30:K54" si="6">IF(A30="","",A30)</f>
        <v>California</v>
      </c>
      <c r="L30" t="str">
        <f t="shared" si="2"/>
        <v>Amador County</v>
      </c>
      <c r="M30" s="17">
        <f t="shared" ref="M30:M54" si="7">IF(D30="","",D30)</f>
        <v>348.2</v>
      </c>
    </row>
    <row r="31" spans="1:13" x14ac:dyDescent="0.35">
      <c r="A31" t="s">
        <v>19</v>
      </c>
      <c r="B31" t="s">
        <v>967</v>
      </c>
      <c r="C31">
        <v>9</v>
      </c>
      <c r="D31">
        <v>192.6</v>
      </c>
      <c r="F31" s="16" t="str">
        <f t="shared" si="3"/>
        <v>California</v>
      </c>
      <c r="G31" t="str">
        <f t="shared" si="4"/>
        <v>Butte County</v>
      </c>
      <c r="H31" s="17">
        <f t="shared" si="5"/>
        <v>9</v>
      </c>
      <c r="K31" s="16" t="str">
        <f t="shared" si="6"/>
        <v>California</v>
      </c>
      <c r="L31" t="str">
        <f t="shared" si="2"/>
        <v>Butte County</v>
      </c>
      <c r="M31" s="17">
        <f t="shared" si="7"/>
        <v>192.6</v>
      </c>
    </row>
    <row r="32" spans="1:13" x14ac:dyDescent="0.35">
      <c r="A32" t="s">
        <v>19</v>
      </c>
      <c r="B32" t="s">
        <v>84</v>
      </c>
      <c r="C32">
        <v>5</v>
      </c>
      <c r="D32">
        <v>192.5</v>
      </c>
      <c r="F32" s="16" t="str">
        <f t="shared" si="3"/>
        <v>California</v>
      </c>
      <c r="G32" t="str">
        <f t="shared" si="4"/>
        <v>Calaveras County</v>
      </c>
      <c r="H32" s="17">
        <f t="shared" si="5"/>
        <v>5</v>
      </c>
      <c r="K32" s="16" t="str">
        <f t="shared" si="6"/>
        <v>California</v>
      </c>
      <c r="L32" t="str">
        <f t="shared" si="2"/>
        <v>Calaveras County</v>
      </c>
      <c r="M32" s="17">
        <f t="shared" si="7"/>
        <v>192.5</v>
      </c>
    </row>
    <row r="33" spans="1:13" x14ac:dyDescent="0.35">
      <c r="A33" t="s">
        <v>19</v>
      </c>
      <c r="B33" t="s">
        <v>1383</v>
      </c>
      <c r="C33">
        <v>3</v>
      </c>
      <c r="D33">
        <v>127.19999999999999</v>
      </c>
      <c r="F33" s="16" t="str">
        <f t="shared" si="3"/>
        <v>California</v>
      </c>
      <c r="G33" t="str">
        <f t="shared" si="4"/>
        <v>Colusa County</v>
      </c>
      <c r="H33" s="17">
        <f t="shared" si="5"/>
        <v>3</v>
      </c>
      <c r="K33" s="16" t="str">
        <f t="shared" si="6"/>
        <v>California</v>
      </c>
      <c r="L33" t="str">
        <f t="shared" si="2"/>
        <v>Colusa County</v>
      </c>
      <c r="M33" s="17">
        <f t="shared" si="7"/>
        <v>127.19999999999999</v>
      </c>
    </row>
    <row r="34" spans="1:13" x14ac:dyDescent="0.35">
      <c r="A34" t="s">
        <v>19</v>
      </c>
      <c r="B34" t="s">
        <v>24</v>
      </c>
      <c r="C34">
        <v>41</v>
      </c>
      <c r="D34">
        <v>1868.9</v>
      </c>
      <c r="F34" s="16" t="str">
        <f t="shared" si="3"/>
        <v>California</v>
      </c>
      <c r="G34" t="str">
        <f t="shared" si="4"/>
        <v>Contra Costa County</v>
      </c>
      <c r="H34" s="17">
        <f t="shared" si="5"/>
        <v>41</v>
      </c>
      <c r="K34" s="16" t="str">
        <f t="shared" si="6"/>
        <v>California</v>
      </c>
      <c r="L34" t="str">
        <f t="shared" si="2"/>
        <v>Contra Costa County</v>
      </c>
      <c r="M34" s="17">
        <f t="shared" si="7"/>
        <v>1868.9</v>
      </c>
    </row>
    <row r="35" spans="1:13" x14ac:dyDescent="0.35">
      <c r="A35" t="s">
        <v>19</v>
      </c>
      <c r="B35" t="s">
        <v>437</v>
      </c>
      <c r="C35">
        <v>22</v>
      </c>
      <c r="D35">
        <v>1253.8000000000002</v>
      </c>
      <c r="F35" s="16" t="str">
        <f t="shared" si="3"/>
        <v>California</v>
      </c>
      <c r="G35" t="str">
        <f t="shared" si="4"/>
        <v>El Dorado County</v>
      </c>
      <c r="H35" s="17">
        <f t="shared" si="5"/>
        <v>22</v>
      </c>
      <c r="K35" s="16" t="str">
        <f t="shared" si="6"/>
        <v>California</v>
      </c>
      <c r="L35" t="str">
        <f t="shared" si="2"/>
        <v>El Dorado County</v>
      </c>
      <c r="M35" s="17">
        <f t="shared" si="7"/>
        <v>1253.8000000000002</v>
      </c>
    </row>
    <row r="36" spans="1:13" x14ac:dyDescent="0.35">
      <c r="A36" t="s">
        <v>19</v>
      </c>
      <c r="B36" t="s">
        <v>28</v>
      </c>
      <c r="C36">
        <v>60</v>
      </c>
      <c r="D36">
        <v>3219.3999999999996</v>
      </c>
      <c r="F36" s="16" t="str">
        <f t="shared" si="3"/>
        <v>California</v>
      </c>
      <c r="G36" t="str">
        <f t="shared" si="4"/>
        <v>Fresno County</v>
      </c>
      <c r="H36" s="17">
        <f t="shared" si="5"/>
        <v>60</v>
      </c>
      <c r="K36" s="16" t="str">
        <f t="shared" si="6"/>
        <v>California</v>
      </c>
      <c r="L36" t="str">
        <f t="shared" si="2"/>
        <v>Fresno County</v>
      </c>
      <c r="M36" s="17">
        <f t="shared" si="7"/>
        <v>3219.3999999999996</v>
      </c>
    </row>
    <row r="37" spans="1:13" x14ac:dyDescent="0.35">
      <c r="A37" t="s">
        <v>19</v>
      </c>
      <c r="B37" t="s">
        <v>587</v>
      </c>
      <c r="C37">
        <v>17</v>
      </c>
      <c r="D37">
        <v>381.9</v>
      </c>
      <c r="F37" s="16" t="str">
        <f t="shared" si="3"/>
        <v>California</v>
      </c>
      <c r="G37" t="str">
        <f t="shared" si="4"/>
        <v>Humboldt County</v>
      </c>
      <c r="H37" s="17">
        <f t="shared" si="5"/>
        <v>17</v>
      </c>
      <c r="K37" s="16" t="str">
        <f t="shared" si="6"/>
        <v>California</v>
      </c>
      <c r="L37" t="str">
        <f t="shared" si="2"/>
        <v>Humboldt County</v>
      </c>
      <c r="M37" s="17">
        <f t="shared" si="7"/>
        <v>381.9</v>
      </c>
    </row>
    <row r="38" spans="1:13" x14ac:dyDescent="0.35">
      <c r="A38" t="s">
        <v>19</v>
      </c>
      <c r="B38" t="s">
        <v>331</v>
      </c>
      <c r="C38">
        <v>22</v>
      </c>
      <c r="D38">
        <v>1218.5999999999999</v>
      </c>
      <c r="F38" s="16" t="str">
        <f t="shared" si="3"/>
        <v>California</v>
      </c>
      <c r="G38" t="str">
        <f t="shared" si="4"/>
        <v>Imperial County</v>
      </c>
      <c r="H38" s="17">
        <f t="shared" si="5"/>
        <v>22</v>
      </c>
      <c r="K38" s="16" t="str">
        <f t="shared" si="6"/>
        <v>California</v>
      </c>
      <c r="L38" t="str">
        <f t="shared" si="2"/>
        <v>Imperial County</v>
      </c>
      <c r="M38" s="17">
        <f t="shared" si="7"/>
        <v>1218.5999999999999</v>
      </c>
    </row>
    <row r="39" spans="1:13" x14ac:dyDescent="0.35">
      <c r="A39" t="s">
        <v>19</v>
      </c>
      <c r="B39" t="s">
        <v>147</v>
      </c>
      <c r="C39">
        <v>21</v>
      </c>
      <c r="D39">
        <v>1386</v>
      </c>
      <c r="F39" s="16" t="str">
        <f t="shared" si="3"/>
        <v>California</v>
      </c>
      <c r="G39" t="str">
        <f t="shared" si="4"/>
        <v>Kern County</v>
      </c>
      <c r="H39" s="17">
        <f t="shared" si="5"/>
        <v>21</v>
      </c>
      <c r="K39" s="16" t="str">
        <f t="shared" si="6"/>
        <v>California</v>
      </c>
      <c r="L39" t="str">
        <f t="shared" si="2"/>
        <v>Kern County</v>
      </c>
      <c r="M39" s="17">
        <f t="shared" si="7"/>
        <v>1386</v>
      </c>
    </row>
    <row r="40" spans="1:13" x14ac:dyDescent="0.35">
      <c r="A40" t="s">
        <v>19</v>
      </c>
      <c r="B40" t="s">
        <v>334</v>
      </c>
      <c r="C40">
        <v>6</v>
      </c>
      <c r="D40">
        <v>208.4</v>
      </c>
      <c r="F40" s="16" t="str">
        <f t="shared" si="3"/>
        <v>California</v>
      </c>
      <c r="G40" t="str">
        <f t="shared" si="4"/>
        <v>Kings County</v>
      </c>
      <c r="H40" s="17">
        <f t="shared" si="5"/>
        <v>6</v>
      </c>
      <c r="K40" s="16" t="str">
        <f t="shared" si="6"/>
        <v>California</v>
      </c>
      <c r="L40" t="str">
        <f t="shared" si="2"/>
        <v>Kings County</v>
      </c>
      <c r="M40" s="17">
        <f t="shared" si="7"/>
        <v>208.4</v>
      </c>
    </row>
    <row r="41" spans="1:13" x14ac:dyDescent="0.35">
      <c r="A41" t="s">
        <v>19</v>
      </c>
      <c r="B41" t="s">
        <v>949</v>
      </c>
      <c r="C41">
        <v>5</v>
      </c>
      <c r="D41">
        <v>539.5</v>
      </c>
      <c r="F41" s="16" t="str">
        <f t="shared" si="3"/>
        <v>California</v>
      </c>
      <c r="G41" t="str">
        <f t="shared" si="4"/>
        <v>Lake County</v>
      </c>
      <c r="H41" s="17">
        <f t="shared" si="5"/>
        <v>5</v>
      </c>
      <c r="K41" s="16" t="str">
        <f t="shared" si="6"/>
        <v>California</v>
      </c>
      <c r="L41" t="str">
        <f t="shared" si="2"/>
        <v>Lake County</v>
      </c>
      <c r="M41" s="17">
        <f t="shared" si="7"/>
        <v>539.5</v>
      </c>
    </row>
    <row r="42" spans="1:13" x14ac:dyDescent="0.35">
      <c r="A42" t="s">
        <v>19</v>
      </c>
      <c r="B42" t="s">
        <v>33</v>
      </c>
      <c r="C42">
        <v>677</v>
      </c>
      <c r="D42">
        <v>36912.799999999996</v>
      </c>
      <c r="F42" s="16" t="str">
        <f t="shared" si="3"/>
        <v>California</v>
      </c>
      <c r="G42" t="str">
        <f t="shared" si="4"/>
        <v>Los Angeles County</v>
      </c>
      <c r="H42" s="17">
        <f t="shared" si="5"/>
        <v>677</v>
      </c>
      <c r="K42" s="16" t="str">
        <f t="shared" si="6"/>
        <v>California</v>
      </c>
      <c r="L42" t="str">
        <f t="shared" si="2"/>
        <v>Los Angeles County</v>
      </c>
      <c r="M42" s="17">
        <f t="shared" si="7"/>
        <v>36912.799999999996</v>
      </c>
    </row>
    <row r="43" spans="1:13" x14ac:dyDescent="0.35">
      <c r="A43" t="s">
        <v>19</v>
      </c>
      <c r="B43" t="s">
        <v>364</v>
      </c>
      <c r="C43">
        <v>4</v>
      </c>
      <c r="D43">
        <v>333.6</v>
      </c>
      <c r="F43" s="16" t="str">
        <f t="shared" si="3"/>
        <v>California</v>
      </c>
      <c r="G43" t="str">
        <f t="shared" si="4"/>
        <v>Madera County</v>
      </c>
      <c r="H43" s="17">
        <f t="shared" si="5"/>
        <v>4</v>
      </c>
      <c r="K43" s="16" t="str">
        <f t="shared" si="6"/>
        <v>California</v>
      </c>
      <c r="L43" t="str">
        <f t="shared" si="2"/>
        <v>Madera County</v>
      </c>
      <c r="M43" s="17">
        <f t="shared" si="7"/>
        <v>333.6</v>
      </c>
    </row>
    <row r="44" spans="1:13" x14ac:dyDescent="0.35">
      <c r="A44" t="s">
        <v>19</v>
      </c>
      <c r="B44" t="s">
        <v>416</v>
      </c>
      <c r="C44">
        <v>6</v>
      </c>
      <c r="D44">
        <v>445.79999999999995</v>
      </c>
      <c r="F44" s="16" t="str">
        <f t="shared" si="3"/>
        <v>California</v>
      </c>
      <c r="G44" t="str">
        <f t="shared" si="4"/>
        <v>Mariposa County</v>
      </c>
      <c r="H44" s="17">
        <f t="shared" si="5"/>
        <v>6</v>
      </c>
      <c r="K44" s="16" t="str">
        <f t="shared" si="6"/>
        <v>California</v>
      </c>
      <c r="L44" t="str">
        <f t="shared" si="2"/>
        <v>Mariposa County</v>
      </c>
      <c r="M44" s="17">
        <f t="shared" si="7"/>
        <v>445.79999999999995</v>
      </c>
    </row>
    <row r="45" spans="1:13" x14ac:dyDescent="0.35">
      <c r="A45" t="s">
        <v>19</v>
      </c>
      <c r="B45" t="s">
        <v>258</v>
      </c>
      <c r="C45">
        <v>3</v>
      </c>
      <c r="D45">
        <v>172.2</v>
      </c>
      <c r="F45" s="16" t="str">
        <f t="shared" si="3"/>
        <v>California</v>
      </c>
      <c r="G45" t="str">
        <f t="shared" si="4"/>
        <v>Mendocino County</v>
      </c>
      <c r="H45" s="17">
        <f t="shared" si="5"/>
        <v>3</v>
      </c>
      <c r="K45" s="16" t="str">
        <f t="shared" si="6"/>
        <v>California</v>
      </c>
      <c r="L45" t="str">
        <f t="shared" si="2"/>
        <v>Mendocino County</v>
      </c>
      <c r="M45" s="17">
        <f t="shared" si="7"/>
        <v>172.2</v>
      </c>
    </row>
    <row r="46" spans="1:13" x14ac:dyDescent="0.35">
      <c r="A46" t="s">
        <v>19</v>
      </c>
      <c r="B46" t="s">
        <v>186</v>
      </c>
      <c r="C46">
        <v>3</v>
      </c>
      <c r="D46">
        <v>147.30000000000001</v>
      </c>
      <c r="F46" s="16" t="str">
        <f t="shared" si="3"/>
        <v>California</v>
      </c>
      <c r="G46" t="str">
        <f t="shared" si="4"/>
        <v>Merced County</v>
      </c>
      <c r="H46" s="17">
        <f t="shared" si="5"/>
        <v>3</v>
      </c>
      <c r="K46" s="16" t="str">
        <f t="shared" si="6"/>
        <v>California</v>
      </c>
      <c r="L46" t="str">
        <f t="shared" si="2"/>
        <v>Merced County</v>
      </c>
      <c r="M46" s="17">
        <f t="shared" si="7"/>
        <v>147.30000000000001</v>
      </c>
    </row>
    <row r="47" spans="1:13" x14ac:dyDescent="0.35">
      <c r="A47" t="s">
        <v>19</v>
      </c>
      <c r="B47" t="s">
        <v>98</v>
      </c>
      <c r="C47">
        <v>29</v>
      </c>
      <c r="D47">
        <v>1623.5</v>
      </c>
      <c r="F47" s="16" t="str">
        <f t="shared" si="3"/>
        <v>California</v>
      </c>
      <c r="G47" t="str">
        <f t="shared" si="4"/>
        <v>Napa County</v>
      </c>
      <c r="H47" s="17">
        <f t="shared" si="5"/>
        <v>29</v>
      </c>
      <c r="K47" s="16" t="str">
        <f t="shared" si="6"/>
        <v>California</v>
      </c>
      <c r="L47" t="str">
        <f t="shared" si="2"/>
        <v>Napa County</v>
      </c>
      <c r="M47" s="17">
        <f t="shared" si="7"/>
        <v>1623.5</v>
      </c>
    </row>
    <row r="48" spans="1:13" x14ac:dyDescent="0.35">
      <c r="A48" t="s">
        <v>19</v>
      </c>
      <c r="B48" t="s">
        <v>49</v>
      </c>
      <c r="C48">
        <v>6</v>
      </c>
      <c r="D48">
        <v>305.39999999999998</v>
      </c>
      <c r="F48" s="16" t="str">
        <f t="shared" si="3"/>
        <v>California</v>
      </c>
      <c r="G48" t="str">
        <f t="shared" si="4"/>
        <v>Nevada County</v>
      </c>
      <c r="H48" s="17">
        <f t="shared" si="5"/>
        <v>6</v>
      </c>
      <c r="K48" s="16" t="str">
        <f t="shared" si="6"/>
        <v>California</v>
      </c>
      <c r="L48" t="str">
        <f t="shared" si="2"/>
        <v>Nevada County</v>
      </c>
      <c r="M48" s="17">
        <f t="shared" si="7"/>
        <v>305.39999999999998</v>
      </c>
    </row>
    <row r="49" spans="1:13" x14ac:dyDescent="0.35">
      <c r="A49" t="s">
        <v>19</v>
      </c>
      <c r="B49" t="s">
        <v>188</v>
      </c>
      <c r="C49">
        <v>11</v>
      </c>
      <c r="D49">
        <v>531.9</v>
      </c>
      <c r="F49" s="16" t="str">
        <f t="shared" si="3"/>
        <v>California</v>
      </c>
      <c r="G49" t="str">
        <f t="shared" si="4"/>
        <v>Orange County</v>
      </c>
      <c r="H49" s="17">
        <f t="shared" si="5"/>
        <v>11</v>
      </c>
      <c r="K49" s="16" t="str">
        <f t="shared" si="6"/>
        <v>California</v>
      </c>
      <c r="L49" t="str">
        <f t="shared" si="2"/>
        <v>Orange County</v>
      </c>
      <c r="M49" s="17">
        <f t="shared" si="7"/>
        <v>531.9</v>
      </c>
    </row>
    <row r="50" spans="1:13" x14ac:dyDescent="0.35">
      <c r="A50" t="s">
        <v>19</v>
      </c>
      <c r="B50" t="s">
        <v>52</v>
      </c>
      <c r="C50">
        <v>12</v>
      </c>
      <c r="D50">
        <v>1173.9000000000001</v>
      </c>
      <c r="F50" s="16" t="str">
        <f t="shared" si="3"/>
        <v>California</v>
      </c>
      <c r="G50" t="str">
        <f t="shared" si="4"/>
        <v>Placer County</v>
      </c>
      <c r="H50" s="17">
        <f t="shared" si="5"/>
        <v>12</v>
      </c>
      <c r="K50" s="16" t="str">
        <f t="shared" si="6"/>
        <v>California</v>
      </c>
      <c r="L50" t="str">
        <f t="shared" si="2"/>
        <v>Placer County</v>
      </c>
      <c r="M50" s="17">
        <f t="shared" si="7"/>
        <v>1173.9000000000001</v>
      </c>
    </row>
    <row r="51" spans="1:13" x14ac:dyDescent="0.35">
      <c r="A51" t="s">
        <v>19</v>
      </c>
      <c r="B51" t="s">
        <v>338</v>
      </c>
      <c r="C51">
        <v>1</v>
      </c>
      <c r="D51">
        <v>92.6</v>
      </c>
      <c r="F51" s="16" t="str">
        <f t="shared" si="3"/>
        <v>California</v>
      </c>
      <c r="G51" t="str">
        <f t="shared" si="4"/>
        <v>Plumas County</v>
      </c>
      <c r="H51" s="17">
        <f t="shared" si="5"/>
        <v>1</v>
      </c>
      <c r="K51" s="16" t="str">
        <f t="shared" si="6"/>
        <v>California</v>
      </c>
      <c r="L51" t="str">
        <f t="shared" si="2"/>
        <v>Plumas County</v>
      </c>
      <c r="M51" s="17">
        <f t="shared" si="7"/>
        <v>92.6</v>
      </c>
    </row>
    <row r="52" spans="1:13" x14ac:dyDescent="0.35">
      <c r="A52" t="s">
        <v>19</v>
      </c>
      <c r="B52" t="s">
        <v>158</v>
      </c>
      <c r="C52">
        <v>85</v>
      </c>
      <c r="D52">
        <v>4460</v>
      </c>
      <c r="F52" s="16" t="str">
        <f t="shared" si="3"/>
        <v>California</v>
      </c>
      <c r="G52" t="str">
        <f t="shared" si="4"/>
        <v>Riverside County</v>
      </c>
      <c r="H52" s="17">
        <f t="shared" si="5"/>
        <v>85</v>
      </c>
      <c r="K52" s="16" t="str">
        <f t="shared" si="6"/>
        <v>California</v>
      </c>
      <c r="L52" t="str">
        <f t="shared" si="2"/>
        <v>Riverside County</v>
      </c>
      <c r="M52" s="17">
        <f t="shared" si="7"/>
        <v>4460</v>
      </c>
    </row>
    <row r="53" spans="1:13" x14ac:dyDescent="0.35">
      <c r="A53" t="s">
        <v>19</v>
      </c>
      <c r="B53" t="s">
        <v>55</v>
      </c>
      <c r="C53">
        <v>189</v>
      </c>
      <c r="D53">
        <v>10424.000000000002</v>
      </c>
      <c r="F53" s="16" t="str">
        <f t="shared" si="3"/>
        <v>California</v>
      </c>
      <c r="G53" t="str">
        <f t="shared" si="4"/>
        <v>Sacramento County</v>
      </c>
      <c r="H53" s="17">
        <f t="shared" si="5"/>
        <v>189</v>
      </c>
      <c r="K53" s="16" t="str">
        <f t="shared" si="6"/>
        <v>California</v>
      </c>
      <c r="L53" t="str">
        <f t="shared" si="2"/>
        <v>Sacramento County</v>
      </c>
      <c r="M53" s="17">
        <f t="shared" si="7"/>
        <v>10424.000000000002</v>
      </c>
    </row>
    <row r="54" spans="1:13" x14ac:dyDescent="0.35">
      <c r="A54" t="s">
        <v>19</v>
      </c>
      <c r="B54" t="s">
        <v>342</v>
      </c>
      <c r="C54">
        <v>5</v>
      </c>
      <c r="D54">
        <v>161</v>
      </c>
      <c r="F54" s="16" t="str">
        <f t="shared" si="3"/>
        <v>California</v>
      </c>
      <c r="G54" t="str">
        <f t="shared" si="4"/>
        <v>San Benito County</v>
      </c>
      <c r="H54" s="17">
        <f t="shared" si="5"/>
        <v>5</v>
      </c>
      <c r="K54" s="18" t="str">
        <f t="shared" si="6"/>
        <v>California</v>
      </c>
      <c r="L54" s="19" t="str">
        <f t="shared" si="2"/>
        <v>San Benito County</v>
      </c>
      <c r="M54" s="20">
        <f t="shared" si="7"/>
        <v>161</v>
      </c>
    </row>
    <row r="55" spans="1:13" x14ac:dyDescent="0.35">
      <c r="A55" t="s">
        <v>19</v>
      </c>
      <c r="B55" t="s">
        <v>59</v>
      </c>
      <c r="C55">
        <v>68</v>
      </c>
      <c r="D55">
        <v>2939.3</v>
      </c>
      <c r="F55" s="16" t="str">
        <f t="shared" si="3"/>
        <v>California</v>
      </c>
      <c r="G55" t="str">
        <f t="shared" si="4"/>
        <v>San Bernardino County</v>
      </c>
      <c r="H55" s="17">
        <f t="shared" si="5"/>
        <v>68</v>
      </c>
    </row>
    <row r="56" spans="1:13" x14ac:dyDescent="0.35">
      <c r="A56" t="s">
        <v>19</v>
      </c>
      <c r="B56" t="s">
        <v>62</v>
      </c>
      <c r="C56">
        <v>350</v>
      </c>
      <c r="D56">
        <v>17692.899999999994</v>
      </c>
      <c r="F56" s="16" t="str">
        <f t="shared" si="3"/>
        <v>California</v>
      </c>
      <c r="G56" t="str">
        <f t="shared" si="4"/>
        <v>San Diego County</v>
      </c>
      <c r="H56" s="17">
        <f t="shared" si="5"/>
        <v>350</v>
      </c>
    </row>
    <row r="57" spans="1:13" x14ac:dyDescent="0.35">
      <c r="A57" t="s">
        <v>19</v>
      </c>
      <c r="B57" t="s">
        <v>103</v>
      </c>
      <c r="C57">
        <v>45</v>
      </c>
      <c r="D57">
        <v>3225.1</v>
      </c>
      <c r="F57" s="16" t="str">
        <f t="shared" si="3"/>
        <v>California</v>
      </c>
      <c r="G57" t="str">
        <f t="shared" si="4"/>
        <v>San Francisco</v>
      </c>
      <c r="H57" s="17">
        <f t="shared" si="5"/>
        <v>45</v>
      </c>
    </row>
    <row r="58" spans="1:13" x14ac:dyDescent="0.35">
      <c r="A58" t="s">
        <v>19</v>
      </c>
      <c r="B58" t="s">
        <v>201</v>
      </c>
      <c r="C58">
        <v>4</v>
      </c>
      <c r="D58">
        <v>205.6</v>
      </c>
      <c r="F58" s="16" t="str">
        <f t="shared" si="3"/>
        <v>California</v>
      </c>
      <c r="G58" t="str">
        <f t="shared" si="4"/>
        <v>San Joaquin County</v>
      </c>
      <c r="H58" s="17">
        <f t="shared" si="5"/>
        <v>4</v>
      </c>
    </row>
    <row r="59" spans="1:13" x14ac:dyDescent="0.35">
      <c r="A59" t="s">
        <v>19</v>
      </c>
      <c r="B59" t="s">
        <v>429</v>
      </c>
      <c r="C59">
        <v>6</v>
      </c>
      <c r="D59">
        <v>290.60000000000002</v>
      </c>
      <c r="F59" s="16" t="str">
        <f t="shared" si="3"/>
        <v>California</v>
      </c>
      <c r="G59" t="str">
        <f t="shared" si="4"/>
        <v>San Luis Obispo County</v>
      </c>
      <c r="H59" s="17">
        <f t="shared" si="5"/>
        <v>6</v>
      </c>
    </row>
    <row r="60" spans="1:13" x14ac:dyDescent="0.35">
      <c r="A60" t="s">
        <v>19</v>
      </c>
      <c r="B60" t="s">
        <v>72</v>
      </c>
      <c r="C60">
        <v>113</v>
      </c>
      <c r="D60">
        <v>5274.6</v>
      </c>
      <c r="F60" s="16" t="str">
        <f t="shared" si="3"/>
        <v>California</v>
      </c>
      <c r="G60" t="str">
        <f t="shared" si="4"/>
        <v>San Mateo County</v>
      </c>
      <c r="H60" s="17">
        <f t="shared" si="5"/>
        <v>113</v>
      </c>
    </row>
    <row r="61" spans="1:13" x14ac:dyDescent="0.35">
      <c r="A61" t="s">
        <v>19</v>
      </c>
      <c r="B61" t="s">
        <v>74</v>
      </c>
      <c r="C61">
        <v>2</v>
      </c>
      <c r="D61">
        <v>90</v>
      </c>
      <c r="F61" s="16" t="str">
        <f t="shared" si="3"/>
        <v>California</v>
      </c>
      <c r="G61" t="str">
        <f t="shared" si="4"/>
        <v>Santa Barbara County</v>
      </c>
      <c r="H61" s="17">
        <f t="shared" si="5"/>
        <v>2</v>
      </c>
    </row>
    <row r="62" spans="1:13" x14ac:dyDescent="0.35">
      <c r="A62" t="s">
        <v>19</v>
      </c>
      <c r="B62" t="s">
        <v>77</v>
      </c>
      <c r="C62">
        <v>133</v>
      </c>
      <c r="D62">
        <v>8226.7000000000007</v>
      </c>
      <c r="F62" s="16" t="str">
        <f t="shared" si="3"/>
        <v>California</v>
      </c>
      <c r="G62" t="str">
        <f t="shared" si="4"/>
        <v>Santa Clara County</v>
      </c>
      <c r="H62" s="17">
        <f t="shared" si="5"/>
        <v>133</v>
      </c>
    </row>
    <row r="63" spans="1:13" x14ac:dyDescent="0.35">
      <c r="A63" t="s">
        <v>19</v>
      </c>
      <c r="B63" t="s">
        <v>309</v>
      </c>
      <c r="C63">
        <v>8</v>
      </c>
      <c r="D63">
        <v>261.60000000000002</v>
      </c>
      <c r="F63" s="16" t="str">
        <f t="shared" si="3"/>
        <v>California</v>
      </c>
      <c r="G63" t="str">
        <f t="shared" si="4"/>
        <v>Santa Cruz County</v>
      </c>
      <c r="H63" s="17">
        <f t="shared" si="5"/>
        <v>8</v>
      </c>
    </row>
    <row r="64" spans="1:13" x14ac:dyDescent="0.35">
      <c r="A64" t="s">
        <v>19</v>
      </c>
      <c r="B64" t="s">
        <v>268</v>
      </c>
      <c r="C64">
        <v>2</v>
      </c>
      <c r="D64">
        <v>58.8</v>
      </c>
      <c r="F64" s="16" t="str">
        <f t="shared" si="3"/>
        <v>California</v>
      </c>
      <c r="G64" t="str">
        <f t="shared" si="4"/>
        <v>Siskiyou County</v>
      </c>
      <c r="H64" s="17">
        <f t="shared" si="5"/>
        <v>2</v>
      </c>
    </row>
    <row r="65" spans="1:8" x14ac:dyDescent="0.35">
      <c r="A65" t="s">
        <v>19</v>
      </c>
      <c r="B65" t="s">
        <v>108</v>
      </c>
      <c r="C65">
        <v>53</v>
      </c>
      <c r="D65">
        <v>6213.7</v>
      </c>
      <c r="F65" s="16" t="str">
        <f t="shared" si="3"/>
        <v>California</v>
      </c>
      <c r="G65" t="str">
        <f t="shared" si="4"/>
        <v>Sonoma County</v>
      </c>
      <c r="H65" s="17">
        <f t="shared" si="5"/>
        <v>53</v>
      </c>
    </row>
    <row r="66" spans="1:8" x14ac:dyDescent="0.35">
      <c r="A66" t="s">
        <v>19</v>
      </c>
      <c r="B66" t="s">
        <v>110</v>
      </c>
      <c r="C66">
        <v>31</v>
      </c>
      <c r="D66">
        <v>1864.8999999999999</v>
      </c>
      <c r="F66" s="18" t="str">
        <f t="shared" si="3"/>
        <v>California</v>
      </c>
      <c r="G66" s="19" t="str">
        <f t="shared" si="4"/>
        <v>Stanislaus County</v>
      </c>
      <c r="H66" s="20">
        <f t="shared" si="5"/>
        <v>31</v>
      </c>
    </row>
    <row r="67" spans="1:8" x14ac:dyDescent="0.35">
      <c r="A67" t="s">
        <v>19</v>
      </c>
      <c r="B67" t="s">
        <v>292</v>
      </c>
      <c r="C67">
        <v>3</v>
      </c>
      <c r="D67">
        <v>138.60000000000002</v>
      </c>
    </row>
    <row r="68" spans="1:8" x14ac:dyDescent="0.35">
      <c r="A68" t="s">
        <v>19</v>
      </c>
      <c r="B68" t="s">
        <v>113</v>
      </c>
      <c r="C68">
        <v>9</v>
      </c>
      <c r="D68">
        <v>327</v>
      </c>
    </row>
    <row r="69" spans="1:8" x14ac:dyDescent="0.35">
      <c r="A69" t="s">
        <v>19</v>
      </c>
      <c r="B69" t="s">
        <v>997</v>
      </c>
      <c r="C69">
        <v>16</v>
      </c>
      <c r="D69">
        <v>515.79999999999995</v>
      </c>
    </row>
    <row r="70" spans="1:8" x14ac:dyDescent="0.35">
      <c r="A70" t="s">
        <v>19</v>
      </c>
      <c r="B70" t="s">
        <v>82</v>
      </c>
      <c r="C70">
        <v>39</v>
      </c>
      <c r="D70">
        <v>2558</v>
      </c>
    </row>
    <row r="71" spans="1:8" x14ac:dyDescent="0.35">
      <c r="A71" t="s">
        <v>2517</v>
      </c>
      <c r="C71">
        <v>2240</v>
      </c>
      <c r="D71">
        <v>123066.00000000003</v>
      </c>
    </row>
    <row r="72" spans="1:8" x14ac:dyDescent="0.35">
      <c r="A72" t="s">
        <v>2513</v>
      </c>
      <c r="C72">
        <v>2240</v>
      </c>
      <c r="D72">
        <v>123066.00000000003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6E3DA-52EA-4BE1-882E-8A1A9D7826F2}">
  <dimension ref="B4:M63"/>
  <sheetViews>
    <sheetView topLeftCell="D1" zoomScale="39" workbookViewId="0">
      <selection activeCell="D62" sqref="D62"/>
    </sheetView>
  </sheetViews>
  <sheetFormatPr defaultRowHeight="14.5" x14ac:dyDescent="0.35"/>
  <cols>
    <col min="2" max="2" width="23.1796875" bestFit="1" customWidth="1"/>
    <col min="3" max="3" width="19.54296875" bestFit="1" customWidth="1"/>
    <col min="4" max="4" width="16" bestFit="1" customWidth="1"/>
    <col min="5" max="5" width="5.90625" bestFit="1" customWidth="1"/>
    <col min="6" max="6" width="23.1796875" bestFit="1" customWidth="1"/>
    <col min="7" max="7" width="18.90625" bestFit="1" customWidth="1"/>
    <col min="8" max="8" width="16" bestFit="1" customWidth="1"/>
    <col min="9" max="9" width="15.36328125" bestFit="1" customWidth="1"/>
    <col min="10" max="10" width="10" bestFit="1" customWidth="1"/>
    <col min="11" max="11" width="8.54296875" bestFit="1" customWidth="1"/>
    <col min="12" max="12" width="8.1796875" bestFit="1" customWidth="1"/>
    <col min="13" max="13" width="12.08984375" customWidth="1"/>
    <col min="14" max="14" width="8.81640625" bestFit="1" customWidth="1"/>
    <col min="15" max="15" width="10.453125" bestFit="1" customWidth="1"/>
  </cols>
  <sheetData>
    <row r="4" spans="2:13" x14ac:dyDescent="0.35">
      <c r="B4" s="3" t="s">
        <v>2505</v>
      </c>
      <c r="C4" s="3" t="s">
        <v>2514</v>
      </c>
    </row>
    <row r="5" spans="2:13" x14ac:dyDescent="0.35">
      <c r="B5" s="3" t="s">
        <v>2512</v>
      </c>
      <c r="C5" t="s">
        <v>2510</v>
      </c>
      <c r="D5" t="s">
        <v>2509</v>
      </c>
      <c r="E5" t="s">
        <v>2511</v>
      </c>
      <c r="F5" t="s">
        <v>2508</v>
      </c>
      <c r="G5" t="s">
        <v>2513</v>
      </c>
      <c r="I5" s="13"/>
      <c r="J5" s="13" t="str">
        <f>C5</f>
        <v>Female</v>
      </c>
      <c r="K5" s="13" t="str">
        <f t="shared" ref="K5:M5" si="0">D5</f>
        <v>Male</v>
      </c>
      <c r="L5" s="13" t="str">
        <f t="shared" si="0"/>
        <v>Other</v>
      </c>
      <c r="M5" s="13" t="str">
        <f t="shared" si="0"/>
        <v>Unknown</v>
      </c>
    </row>
    <row r="6" spans="2:13" x14ac:dyDescent="0.35">
      <c r="B6" s="4" t="s">
        <v>18</v>
      </c>
      <c r="C6" s="6">
        <v>0.18961825201634841</v>
      </c>
      <c r="D6" s="6">
        <v>0.12262322351336576</v>
      </c>
      <c r="E6" s="6">
        <v>1.060537752469185E-2</v>
      </c>
      <c r="F6" s="6">
        <v>3.0599220547662797E-2</v>
      </c>
      <c r="G6" s="6">
        <v>0.35344607360206881</v>
      </c>
      <c r="I6" s="14" t="str">
        <f>B6</f>
        <v>App</v>
      </c>
      <c r="J6" s="15">
        <f t="shared" ref="J6:M10" si="1">C6</f>
        <v>0.18961825201634841</v>
      </c>
      <c r="K6" s="15">
        <f t="shared" si="1"/>
        <v>0.12262322351336576</v>
      </c>
      <c r="L6" s="15">
        <f t="shared" si="1"/>
        <v>1.060537752469185E-2</v>
      </c>
      <c r="M6" s="15">
        <f t="shared" si="1"/>
        <v>3.0599220547662797E-2</v>
      </c>
    </row>
    <row r="7" spans="2:13" x14ac:dyDescent="0.35">
      <c r="B7" s="4" t="s">
        <v>51</v>
      </c>
      <c r="C7" s="6">
        <v>5.0283982091147303E-2</v>
      </c>
      <c r="D7" s="6">
        <v>4.3060781812819873E-2</v>
      </c>
      <c r="E7" s="6">
        <v>1.5320025675641944E-3</v>
      </c>
      <c r="F7" s="6">
        <v>1.7794988689097006E-2</v>
      </c>
      <c r="G7" s="6">
        <v>0.11267175516062837</v>
      </c>
      <c r="I7" s="14" t="str">
        <f t="shared" ref="I7:I10" si="2">B7</f>
        <v>Instagram</v>
      </c>
      <c r="J7" s="15">
        <f t="shared" si="1"/>
        <v>5.0283982091147303E-2</v>
      </c>
      <c r="K7" s="15">
        <f t="shared" si="1"/>
        <v>4.3060781812819873E-2</v>
      </c>
      <c r="L7" s="15">
        <f t="shared" si="1"/>
        <v>1.5320025675641944E-3</v>
      </c>
      <c r="M7" s="15">
        <f t="shared" si="1"/>
        <v>1.7794988689097006E-2</v>
      </c>
    </row>
    <row r="8" spans="2:13" x14ac:dyDescent="0.35">
      <c r="B8" s="4" t="s">
        <v>70</v>
      </c>
      <c r="C8" s="6">
        <v>6.3496059750411282E-2</v>
      </c>
      <c r="D8" s="6">
        <v>4.6071629863988765E-2</v>
      </c>
      <c r="E8" s="6">
        <v>2.306247051322625E-3</v>
      </c>
      <c r="F8" s="6">
        <v>3.8927934093844286E-3</v>
      </c>
      <c r="G8" s="6">
        <v>0.11576673007510711</v>
      </c>
      <c r="I8" s="14" t="str">
        <f t="shared" si="2"/>
        <v>Partner App</v>
      </c>
      <c r="J8" s="15">
        <f t="shared" si="1"/>
        <v>6.3496059750411282E-2</v>
      </c>
      <c r="K8" s="15">
        <f t="shared" si="1"/>
        <v>4.6071629863988765E-2</v>
      </c>
      <c r="L8" s="15">
        <f t="shared" si="1"/>
        <v>2.306247051322625E-3</v>
      </c>
      <c r="M8" s="15">
        <f t="shared" si="1"/>
        <v>3.8927934093844286E-3</v>
      </c>
    </row>
    <row r="9" spans="2:13" x14ac:dyDescent="0.35">
      <c r="B9" s="4" t="s">
        <v>40</v>
      </c>
      <c r="C9" s="6">
        <v>9.6337892927149532E-2</v>
      </c>
      <c r="D9" s="6">
        <v>6.7920115842382611E-2</v>
      </c>
      <c r="E9" s="6">
        <v>5.4979832664581261E-3</v>
      </c>
      <c r="F9" s="6">
        <v>1.2933041488102518E-2</v>
      </c>
      <c r="G9" s="6">
        <v>0.1826890335240928</v>
      </c>
      <c r="I9" s="14" t="str">
        <f t="shared" si="2"/>
        <v>Target.com</v>
      </c>
      <c r="J9" s="15">
        <f t="shared" si="1"/>
        <v>9.6337892927149532E-2</v>
      </c>
      <c r="K9" s="15">
        <f t="shared" si="1"/>
        <v>6.7920115842382611E-2</v>
      </c>
      <c r="L9" s="15">
        <f t="shared" si="1"/>
        <v>5.4979832664581261E-3</v>
      </c>
      <c r="M9" s="15">
        <f t="shared" si="1"/>
        <v>1.2933041488102518E-2</v>
      </c>
    </row>
    <row r="10" spans="2:13" x14ac:dyDescent="0.35">
      <c r="B10" s="4" t="s">
        <v>35</v>
      </c>
      <c r="C10" s="6">
        <v>0.12522098709469262</v>
      </c>
      <c r="D10" s="6">
        <v>9.1492740283116228E-2</v>
      </c>
      <c r="E10" s="6">
        <v>6.3042760790965081E-3</v>
      </c>
      <c r="F10" s="6">
        <v>1.2408404181197551E-2</v>
      </c>
      <c r="G10" s="6">
        <v>0.23542640763810288</v>
      </c>
      <c r="I10" s="14" t="str">
        <f t="shared" si="2"/>
        <v>Website</v>
      </c>
      <c r="J10" s="15">
        <f t="shared" si="1"/>
        <v>0.12522098709469262</v>
      </c>
      <c r="K10" s="15">
        <f t="shared" si="1"/>
        <v>9.1492740283116228E-2</v>
      </c>
      <c r="L10" s="15">
        <f t="shared" si="1"/>
        <v>6.3042760790965081E-3</v>
      </c>
      <c r="M10" s="15">
        <f t="shared" si="1"/>
        <v>1.2408404181197551E-2</v>
      </c>
    </row>
    <row r="11" spans="2:13" x14ac:dyDescent="0.35">
      <c r="B11" s="4" t="s">
        <v>2513</v>
      </c>
      <c r="C11" s="6">
        <v>0.52495717387974916</v>
      </c>
      <c r="D11" s="6">
        <v>0.3711684913156732</v>
      </c>
      <c r="E11" s="6">
        <v>2.6245886489133303E-2</v>
      </c>
      <c r="F11" s="6">
        <v>7.7628448315444312E-2</v>
      </c>
      <c r="G11" s="6">
        <v>1</v>
      </c>
      <c r="I11" s="4"/>
    </row>
    <row r="16" spans="2:13" x14ac:dyDescent="0.35">
      <c r="B16" s="3" t="s">
        <v>2512</v>
      </c>
      <c r="C16" t="s">
        <v>2503</v>
      </c>
      <c r="F16" s="3" t="s">
        <v>2512</v>
      </c>
      <c r="G16" t="s">
        <v>2505</v>
      </c>
    </row>
    <row r="17" spans="2:8" x14ac:dyDescent="0.35">
      <c r="B17" s="4">
        <v>1</v>
      </c>
      <c r="C17">
        <v>84</v>
      </c>
      <c r="F17" s="4" t="s">
        <v>2510</v>
      </c>
      <c r="G17">
        <v>123066.00000000009</v>
      </c>
    </row>
    <row r="18" spans="2:8" x14ac:dyDescent="0.35">
      <c r="B18" s="4">
        <v>2</v>
      </c>
      <c r="C18">
        <v>93</v>
      </c>
      <c r="F18" s="4" t="s">
        <v>2513</v>
      </c>
      <c r="G18">
        <v>123066.00000000009</v>
      </c>
    </row>
    <row r="19" spans="2:8" x14ac:dyDescent="0.35">
      <c r="B19" s="4">
        <v>3</v>
      </c>
      <c r="C19">
        <v>67</v>
      </c>
    </row>
    <row r="20" spans="2:8" x14ac:dyDescent="0.35">
      <c r="B20" s="4">
        <v>4</v>
      </c>
      <c r="C20">
        <v>47</v>
      </c>
    </row>
    <row r="21" spans="2:8" x14ac:dyDescent="0.35">
      <c r="B21" s="4">
        <v>5</v>
      </c>
      <c r="C21">
        <v>41</v>
      </c>
    </row>
    <row r="22" spans="2:8" x14ac:dyDescent="0.35">
      <c r="B22" s="4" t="s">
        <v>2515</v>
      </c>
      <c r="C22">
        <v>80</v>
      </c>
    </row>
    <row r="23" spans="2:8" x14ac:dyDescent="0.35">
      <c r="B23" s="4" t="s">
        <v>2516</v>
      </c>
      <c r="C23">
        <v>44</v>
      </c>
    </row>
    <row r="24" spans="2:8" x14ac:dyDescent="0.35">
      <c r="B24" s="4" t="s">
        <v>2513</v>
      </c>
      <c r="C24">
        <v>456</v>
      </c>
    </row>
    <row r="27" spans="2:8" x14ac:dyDescent="0.35">
      <c r="F27" s="3" t="s">
        <v>2504</v>
      </c>
      <c r="G27" s="3" t="s">
        <v>2514</v>
      </c>
    </row>
    <row r="28" spans="2:8" x14ac:dyDescent="0.35">
      <c r="F28" s="3" t="s">
        <v>2512</v>
      </c>
      <c r="G28" t="s">
        <v>2510</v>
      </c>
      <c r="H28" t="s">
        <v>2513</v>
      </c>
    </row>
    <row r="29" spans="2:8" x14ac:dyDescent="0.35">
      <c r="F29" s="4" t="s">
        <v>39</v>
      </c>
      <c r="G29">
        <v>318</v>
      </c>
      <c r="H29">
        <v>318</v>
      </c>
    </row>
    <row r="30" spans="2:8" x14ac:dyDescent="0.35">
      <c r="F30" s="4" t="s">
        <v>26</v>
      </c>
      <c r="G30">
        <v>266</v>
      </c>
      <c r="H30">
        <v>266</v>
      </c>
    </row>
    <row r="31" spans="2:8" x14ac:dyDescent="0.35">
      <c r="F31" s="4" t="s">
        <v>44</v>
      </c>
      <c r="G31">
        <v>240</v>
      </c>
      <c r="H31">
        <v>240</v>
      </c>
    </row>
    <row r="32" spans="2:8" x14ac:dyDescent="0.35">
      <c r="F32" s="4" t="s">
        <v>22</v>
      </c>
      <c r="G32">
        <v>192</v>
      </c>
      <c r="H32">
        <v>192</v>
      </c>
    </row>
    <row r="33" spans="2:8" x14ac:dyDescent="0.35">
      <c r="F33" s="4" t="s">
        <v>46</v>
      </c>
      <c r="G33">
        <v>164</v>
      </c>
      <c r="H33">
        <v>164</v>
      </c>
    </row>
    <row r="34" spans="2:8" x14ac:dyDescent="0.35">
      <c r="F34" s="4" t="s">
        <v>16</v>
      </c>
      <c r="G34">
        <v>163</v>
      </c>
      <c r="H34">
        <v>163</v>
      </c>
    </row>
    <row r="35" spans="2:8" x14ac:dyDescent="0.35">
      <c r="B35" s="3" t="s">
        <v>2512</v>
      </c>
      <c r="C35" t="s">
        <v>2503</v>
      </c>
      <c r="F35" s="4" t="s">
        <v>32</v>
      </c>
      <c r="G35">
        <v>152</v>
      </c>
      <c r="H35">
        <v>152</v>
      </c>
    </row>
    <row r="36" spans="2:8" x14ac:dyDescent="0.35">
      <c r="B36" s="4">
        <v>0</v>
      </c>
      <c r="C36">
        <v>175</v>
      </c>
      <c r="F36" s="4" t="s">
        <v>54</v>
      </c>
      <c r="G36">
        <v>152</v>
      </c>
      <c r="H36">
        <v>152</v>
      </c>
    </row>
    <row r="37" spans="2:8" x14ac:dyDescent="0.35">
      <c r="B37" s="4">
        <v>1</v>
      </c>
      <c r="C37">
        <v>888</v>
      </c>
      <c r="F37" s="4" t="s">
        <v>37</v>
      </c>
      <c r="G37">
        <v>116</v>
      </c>
      <c r="H37">
        <v>116</v>
      </c>
    </row>
    <row r="38" spans="2:8" x14ac:dyDescent="0.35">
      <c r="B38" s="4">
        <v>2</v>
      </c>
      <c r="C38">
        <v>538</v>
      </c>
      <c r="F38" s="4" t="s">
        <v>42</v>
      </c>
      <c r="G38">
        <v>96</v>
      </c>
      <c r="H38">
        <v>96</v>
      </c>
    </row>
    <row r="39" spans="2:8" x14ac:dyDescent="0.35">
      <c r="B39" s="4">
        <v>3</v>
      </c>
      <c r="C39">
        <v>344</v>
      </c>
      <c r="F39" s="4" t="s">
        <v>69</v>
      </c>
      <c r="G39">
        <v>84</v>
      </c>
      <c r="H39">
        <v>84</v>
      </c>
    </row>
    <row r="40" spans="2:8" x14ac:dyDescent="0.35">
      <c r="B40" s="4">
        <v>4</v>
      </c>
      <c r="C40">
        <v>200</v>
      </c>
      <c r="F40" s="4" t="s">
        <v>146</v>
      </c>
      <c r="G40">
        <v>72</v>
      </c>
      <c r="H40">
        <v>72</v>
      </c>
    </row>
    <row r="41" spans="2:8" x14ac:dyDescent="0.35">
      <c r="B41" s="4">
        <v>5</v>
      </c>
      <c r="C41">
        <v>94</v>
      </c>
      <c r="F41" s="4" t="s">
        <v>123</v>
      </c>
      <c r="G41">
        <v>61</v>
      </c>
      <c r="H41">
        <v>61</v>
      </c>
    </row>
    <row r="42" spans="2:8" x14ac:dyDescent="0.35">
      <c r="B42" s="4">
        <v>6</v>
      </c>
      <c r="C42">
        <v>51</v>
      </c>
      <c r="F42" s="4" t="s">
        <v>30</v>
      </c>
      <c r="G42">
        <v>39</v>
      </c>
      <c r="H42">
        <v>39</v>
      </c>
    </row>
    <row r="43" spans="2:8" x14ac:dyDescent="0.35">
      <c r="B43" s="4">
        <v>7</v>
      </c>
      <c r="C43">
        <v>32</v>
      </c>
      <c r="F43" s="4" t="s">
        <v>67</v>
      </c>
      <c r="G43">
        <v>37</v>
      </c>
      <c r="H43">
        <v>37</v>
      </c>
    </row>
    <row r="44" spans="2:8" x14ac:dyDescent="0.35">
      <c r="B44" s="4">
        <v>8</v>
      </c>
      <c r="C44">
        <v>23</v>
      </c>
      <c r="F44" s="4" t="s">
        <v>128</v>
      </c>
      <c r="G44">
        <v>35</v>
      </c>
      <c r="H44">
        <v>35</v>
      </c>
    </row>
    <row r="45" spans="2:8" x14ac:dyDescent="0.35">
      <c r="B45" s="4">
        <v>9</v>
      </c>
      <c r="C45">
        <v>9</v>
      </c>
      <c r="F45" s="4" t="s">
        <v>76</v>
      </c>
      <c r="G45">
        <v>22</v>
      </c>
      <c r="H45">
        <v>22</v>
      </c>
    </row>
    <row r="46" spans="2:8" x14ac:dyDescent="0.35">
      <c r="B46" s="4">
        <v>10</v>
      </c>
      <c r="C46">
        <v>8</v>
      </c>
      <c r="F46" s="4" t="s">
        <v>135</v>
      </c>
      <c r="G46">
        <v>17</v>
      </c>
      <c r="H46">
        <v>17</v>
      </c>
    </row>
    <row r="47" spans="2:8" x14ac:dyDescent="0.35">
      <c r="B47" s="4">
        <v>11</v>
      </c>
      <c r="C47">
        <v>11</v>
      </c>
      <c r="F47" s="4" t="s">
        <v>81</v>
      </c>
      <c r="G47">
        <v>11</v>
      </c>
      <c r="H47">
        <v>11</v>
      </c>
    </row>
    <row r="48" spans="2:8" x14ac:dyDescent="0.35">
      <c r="B48" s="4">
        <v>12</v>
      </c>
      <c r="C48">
        <v>4</v>
      </c>
      <c r="F48" s="4" t="s">
        <v>171</v>
      </c>
      <c r="G48">
        <v>3</v>
      </c>
      <c r="H48">
        <v>3</v>
      </c>
    </row>
    <row r="49" spans="2:8" x14ac:dyDescent="0.35">
      <c r="B49" s="4">
        <v>13</v>
      </c>
      <c r="C49">
        <v>10</v>
      </c>
      <c r="F49" s="4" t="s">
        <v>2513</v>
      </c>
      <c r="G49">
        <v>2240</v>
      </c>
      <c r="H49">
        <v>2240</v>
      </c>
    </row>
    <row r="50" spans="2:8" x14ac:dyDescent="0.35">
      <c r="B50" s="4">
        <v>14</v>
      </c>
      <c r="C50">
        <v>13</v>
      </c>
    </row>
    <row r="51" spans="2:8" x14ac:dyDescent="0.35">
      <c r="B51" s="4" t="s">
        <v>2513</v>
      </c>
      <c r="C51">
        <v>2400</v>
      </c>
    </row>
    <row r="58" spans="2:8" x14ac:dyDescent="0.35">
      <c r="B58" s="3" t="s">
        <v>2521</v>
      </c>
      <c r="C58" s="3" t="s">
        <v>2514</v>
      </c>
    </row>
    <row r="59" spans="2:8" x14ac:dyDescent="0.35">
      <c r="B59" s="3" t="s">
        <v>2512</v>
      </c>
      <c r="C59">
        <v>1</v>
      </c>
      <c r="D59">
        <v>2</v>
      </c>
      <c r="E59">
        <v>3</v>
      </c>
      <c r="F59">
        <v>4</v>
      </c>
      <c r="G59">
        <v>5</v>
      </c>
      <c r="H59" t="s">
        <v>2513</v>
      </c>
    </row>
    <row r="60" spans="2:8" x14ac:dyDescent="0.35">
      <c r="B60" s="4" t="s">
        <v>2518</v>
      </c>
      <c r="C60">
        <v>2</v>
      </c>
      <c r="D60">
        <v>10</v>
      </c>
      <c r="E60">
        <v>66</v>
      </c>
      <c r="F60">
        <v>216</v>
      </c>
      <c r="G60">
        <v>240</v>
      </c>
      <c r="H60">
        <v>534</v>
      </c>
    </row>
    <row r="61" spans="2:8" x14ac:dyDescent="0.35">
      <c r="B61" s="4" t="s">
        <v>2519</v>
      </c>
      <c r="C61">
        <v>4</v>
      </c>
      <c r="D61">
        <v>14</v>
      </c>
      <c r="E61">
        <v>123</v>
      </c>
      <c r="F61">
        <v>364</v>
      </c>
      <c r="G61">
        <v>205</v>
      </c>
      <c r="H61">
        <v>710</v>
      </c>
    </row>
    <row r="62" spans="2:8" x14ac:dyDescent="0.35">
      <c r="B62" s="4" t="s">
        <v>2520</v>
      </c>
      <c r="C62">
        <v>1</v>
      </c>
      <c r="D62">
        <v>12</v>
      </c>
      <c r="E62">
        <v>81</v>
      </c>
      <c r="F62">
        <v>260</v>
      </c>
      <c r="G62">
        <v>210</v>
      </c>
      <c r="H62">
        <v>564</v>
      </c>
    </row>
    <row r="63" spans="2:8" x14ac:dyDescent="0.35">
      <c r="B63" s="4" t="s">
        <v>2513</v>
      </c>
      <c r="C63">
        <v>7</v>
      </c>
      <c r="D63">
        <v>36</v>
      </c>
      <c r="E63">
        <v>270</v>
      </c>
      <c r="F63">
        <v>840</v>
      </c>
      <c r="G63">
        <v>655</v>
      </c>
      <c r="H63">
        <v>1808</v>
      </c>
    </row>
  </sheetData>
  <conditionalFormatting sqref="I5:M10">
    <cfRule type="colorScale" priority="1">
      <colorScale>
        <cfvo type="min"/>
        <cfvo type="percentile" val="50"/>
        <cfvo type="max"/>
        <color rgb="FFF8696B"/>
        <color rgb="FFFCFCFF"/>
        <color rgb="FF5A8AC6"/>
      </colorScale>
    </cfRule>
    <cfRule type="colorScale" priority="4">
      <colorScale>
        <cfvo type="min"/>
        <cfvo type="max"/>
        <color theme="8" tint="-0.249977111117893"/>
        <color theme="5" tint="0.79998168889431442"/>
      </colorScale>
    </cfRule>
  </conditionalFormatting>
  <conditionalFormatting sqref="J6:M10">
    <cfRule type="colorScale" priority="2">
      <colorScale>
        <cfvo type="min"/>
        <cfvo type="max"/>
        <color theme="5" tint="0.79998168889431442"/>
        <color theme="5" tint="-0.249977111117893"/>
      </colorScale>
    </cfRule>
    <cfRule type="colorScale" priority="3">
      <colorScale>
        <cfvo type="min"/>
        <cfvo type="max"/>
        <color theme="5" tint="0.79998168889431442"/>
        <color theme="8" tint="0.39997558519241921"/>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Dataset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Singh</dc:creator>
  <cp:lastModifiedBy>Prachi Singh</cp:lastModifiedBy>
  <cp:lastPrinted>2026-08-25T13:49:01Z</cp:lastPrinted>
  <dcterms:created xsi:type="dcterms:W3CDTF">2026-08-23T18:06:24Z</dcterms:created>
  <dcterms:modified xsi:type="dcterms:W3CDTF">2026-08-25T14:14:16Z</dcterms:modified>
</cp:coreProperties>
</file>